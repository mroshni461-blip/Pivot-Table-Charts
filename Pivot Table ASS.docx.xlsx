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esktop\Roshani Backup\Downloads\Documents\"/>
    </mc:Choice>
  </mc:AlternateContent>
  <bookViews>
    <workbookView xWindow="-105" yWindow="-105" windowWidth="23250" windowHeight="12450" activeTab="4"/>
  </bookViews>
  <sheets>
    <sheet name="Q2,Q3,Q4" sheetId="2" r:id="rId1"/>
    <sheet name="Q5,Q6" sheetId="4" r:id="rId2"/>
    <sheet name="Q8" sheetId="5" r:id="rId3"/>
    <sheet name="Q9" sheetId="6" r:id="rId4"/>
    <sheet name="Q10" sheetId="8" r:id="rId5"/>
  </sheets>
  <definedNames>
    <definedName name="_xlnm._FilterDatabase" localSheetId="4" hidden="1">'Q10'!$C$3:$C$23</definedName>
    <definedName name="_xlnm._FilterDatabase" localSheetId="0" hidden="1">'Q2,Q3,Q4'!$D$60:$D$80</definedName>
    <definedName name="_xlnm._FilterDatabase" localSheetId="1" hidden="1">'Q5,Q6'!$A$32:$A$52</definedName>
    <definedName name="_xlnm._FilterDatabase" localSheetId="2" hidden="1">'Q8'!$A$30:$A$50</definedName>
    <definedName name="_xlnm._FilterDatabase" localSheetId="3" hidden="1">'Q9'!$E$4:$E$24</definedName>
    <definedName name="_xlcn.WorksheetConnection_Sheet2A86E1061" hidden="1">'Q2,Q3,Q4'!$A$3:$E$23</definedName>
    <definedName name="_xlcn.WorksheetConnection_Sheet4A3E231" hidden="1">'Q5,Q6'!$A$3:$E$23</definedName>
    <definedName name="_xlnm.Criteria" localSheetId="2">'Q8'!$G$17</definedName>
    <definedName name="Slicer_Product">#N/A</definedName>
    <definedName name="Slicer_Product1">#N/A</definedName>
    <definedName name="Slicer_Product2">#N/A</definedName>
  </definedNames>
  <calcPr calcId="152511"/>
  <pivotCaches>
    <pivotCache cacheId="0" r:id="rId6"/>
    <pivotCache cacheId="1" r:id="rId7"/>
    <pivotCache cacheId="2" r:id="rId8"/>
    <pivotCache cacheId="3" r:id="rId9"/>
    <pivotCache cacheId="4"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1" name="Range 1" connection="WorksheetConnection_Sheet4!$A$3:$E$23"/>
          <x15:modelTable id="Range" name="Range" connection="WorksheetConnection_Sheet2!$A$86:$E$10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6" l="1"/>
</calcChain>
</file>

<file path=xl/connections.xml><?xml version="1.0" encoding="utf-8"?>
<connections xmlns="http://schemas.openxmlformats.org/spreadsheetml/2006/main">
  <connection i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heet2!$A$86:$E$106" type="102" refreshedVersion="8" minRefreshableVersion="5">
    <extLst>
      <ext xmlns:x15="http://schemas.microsoft.com/office/spreadsheetml/2010/11/main" uri="{DE250136-89BD-433C-8126-D09CA5730AF9}">
        <x15:connection id="Range" autoDelete="1">
          <x15:rangePr sourceName="_xlcn.WorksheetConnection_Sheet2A86E1061"/>
        </x15:connection>
      </ext>
    </extLst>
  </connection>
  <connection id="3" name="WorksheetConnection_Sheet4!$A$3:$E$23" type="102" refreshedVersion="8" minRefreshableVersion="5">
    <extLst>
      <ext xmlns:x15="http://schemas.microsoft.com/office/spreadsheetml/2010/11/main" uri="{DE250136-89BD-433C-8126-D09CA5730AF9}">
        <x15:connection id="Range 1" autoDelete="1">
          <x15:rangePr sourceName="_xlcn.WorksheetConnection_Sheet4A3E231"/>
        </x15:connection>
      </ext>
    </extLst>
  </connection>
</connections>
</file>

<file path=xl/sharedStrings.xml><?xml version="1.0" encoding="utf-8"?>
<sst xmlns="http://schemas.openxmlformats.org/spreadsheetml/2006/main" count="440" uniqueCount="39">
  <si>
    <t>Date</t>
  </si>
  <si>
    <t>Region</t>
  </si>
  <si>
    <t>Product</t>
  </si>
  <si>
    <t>Sales</t>
  </si>
  <si>
    <t>Quantity</t>
  </si>
  <si>
    <t>West</t>
  </si>
  <si>
    <t>Mangoes</t>
  </si>
  <si>
    <t>South</t>
  </si>
  <si>
    <t>Oranges</t>
  </si>
  <si>
    <t>Apples</t>
  </si>
  <si>
    <t>East</t>
  </si>
  <si>
    <t>North</t>
  </si>
  <si>
    <t>Grand Total</t>
  </si>
  <si>
    <t>Row Labels</t>
  </si>
  <si>
    <t>(All)</t>
  </si>
  <si>
    <t>Q3. Apply Conditional Formatting to highlight sales greater than 400.</t>
  </si>
  <si>
    <t>Sum of Sales</t>
  </si>
  <si>
    <t>ANSWER</t>
  </si>
  <si>
    <t>Q4.  Explain the difference between Sorting and Filtering with an example from this dataset.</t>
  </si>
  <si>
    <t>Q5 Create a PivotChart showing Monthly Sales Trend.</t>
  </si>
  <si>
    <t>Jun</t>
  </si>
  <si>
    <t>Mar</t>
  </si>
  <si>
    <t>Apr</t>
  </si>
  <si>
    <t>Jan</t>
  </si>
  <si>
    <t>Feb</t>
  </si>
  <si>
    <t>May</t>
  </si>
  <si>
    <t>Q6. Use a Slicer to filter data by Product and observe changes in sales.</t>
  </si>
  <si>
    <t>Note:-                                 I use filter in region  and apply sort in sales</t>
  </si>
  <si>
    <t>Clicking “Apples” shows only Apple sales across regions/months.</t>
  </si>
  <si>
    <t>Q8. Create a Dashboard that includes:
Sales by Region (PivotTable + Chart)
Product Filter (Slicer)
Monthly Trend (Line Chart)</t>
  </si>
  <si>
    <t>Sales by Region (PivotTable + Chart)</t>
  </si>
  <si>
    <t>Q9. Group dates in the PivotTable into Months and calculate the average sales per month.</t>
  </si>
  <si>
    <t>Average of Sales</t>
  </si>
  <si>
    <t>Q10. Combine Apples and Oranges into one group called Fruits and compare its sales with other products.</t>
  </si>
  <si>
    <t>Sales avg</t>
  </si>
  <si>
    <t>Q6. Use a Slicer to filter data by Product and observe changes in sales</t>
  </si>
  <si>
    <t>Clicking “Apples” shows only Apple sales .</t>
  </si>
  <si>
    <r>
      <rPr>
        <b/>
        <sz val="16"/>
        <color theme="1"/>
        <rFont val="Times New Roman"/>
        <family val="1"/>
      </rPr>
      <t xml:space="preserve">2. </t>
    </r>
    <r>
      <rPr>
        <b/>
        <sz val="16"/>
        <color theme="1"/>
        <rFont val="Aptos"/>
        <family val="2"/>
      </rPr>
      <t>Create a PivotTable to show Total Sales by Region.</t>
    </r>
  </si>
  <si>
    <t>Answer</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</si>
</sst>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Aptos Narrow"/>
      <family val="2"/>
      <scheme val="minor"/>
    </font>
    <font>
      <b/>
      <sz val="11"/>
      <color theme="1"/>
      <name val="Calibri"/>
      <family val="2"/>
    </font>
    <font>
      <sz val="11"/>
      <color theme="1"/>
      <name val="Calibri"/>
      <family val="2"/>
    </font>
    <font>
      <sz val="12"/>
      <color theme="1"/>
      <name val="Aptos"/>
      <family val="1"/>
    </font>
    <font>
      <b/>
      <sz val="16"/>
      <color theme="1"/>
      <name val="Aptos Narrow"/>
      <family val="2"/>
      <scheme val="minor"/>
    </font>
    <font>
      <b/>
      <sz val="14"/>
      <color theme="1"/>
      <name val="Aptos Narrow"/>
      <family val="2"/>
      <scheme val="minor"/>
    </font>
    <font>
      <b/>
      <sz val="18"/>
      <color theme="1"/>
      <name val="Aptos Narrow"/>
      <family val="2"/>
      <scheme val="minor"/>
    </font>
    <font>
      <b/>
      <sz val="16"/>
      <color theme="1"/>
      <name val="Aptos"/>
      <family val="1"/>
    </font>
    <font>
      <b/>
      <sz val="16"/>
      <color theme="1"/>
      <name val="Times New Roman"/>
      <family val="1"/>
    </font>
    <font>
      <b/>
      <sz val="16"/>
      <color theme="1"/>
      <name val="Aptos"/>
      <family val="2"/>
    </font>
    <font>
      <b/>
      <sz val="14"/>
      <color theme="1"/>
      <name val="Aptos Narrow"/>
      <scheme val="minor"/>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CCCCCC"/>
      </right>
      <top style="medium">
        <color rgb="FFCCCCCC"/>
      </top>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top/>
      <bottom/>
      <diagonal/>
    </border>
    <border>
      <left style="medium">
        <color indexed="64"/>
      </left>
      <right style="medium">
        <color rgb="FFCCCCCC"/>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0">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2" fillId="0" borderId="3" xfId="0" applyFont="1" applyBorder="1" applyAlignment="1">
      <alignment wrapText="1"/>
    </xf>
    <xf numFmtId="22" fontId="2" fillId="0" borderId="3" xfId="0" applyNumberFormat="1" applyFont="1" applyBorder="1" applyAlignment="1">
      <alignment horizontal="right" wrapText="1"/>
    </xf>
    <xf numFmtId="0" fontId="2" fillId="0" borderId="3" xfId="0" applyFont="1" applyBorder="1" applyAlignment="1">
      <alignment horizontal="right" wrapText="1"/>
    </xf>
    <xf numFmtId="0" fontId="3" fillId="0" borderId="0" xfId="0" applyFont="1" applyAlignment="1">
      <alignment horizontal="left" vertical="center" indent="6"/>
    </xf>
    <xf numFmtId="0" fontId="2" fillId="0" borderId="4" xfId="0" applyFont="1" applyBorder="1" applyAlignment="1">
      <alignment wrapText="1"/>
    </xf>
    <xf numFmtId="22" fontId="2" fillId="0" borderId="0" xfId="0" applyNumberFormat="1" applyFont="1" applyAlignment="1">
      <alignment horizontal="right" wrapText="1"/>
    </xf>
    <xf numFmtId="0" fontId="2" fillId="0" borderId="0" xfId="0" applyFont="1" applyAlignment="1">
      <alignment wrapText="1"/>
    </xf>
    <xf numFmtId="0" fontId="2" fillId="0" borderId="0" xfId="0" applyFont="1" applyAlignment="1">
      <alignment horizontal="right" wrapText="1"/>
    </xf>
    <xf numFmtId="0" fontId="2" fillId="0" borderId="5" xfId="0" applyFont="1" applyBorder="1" applyAlignment="1">
      <alignment wrapText="1"/>
    </xf>
    <xf numFmtId="0" fontId="0" fillId="0" borderId="0" xfId="0" pivotButton="1"/>
    <xf numFmtId="0" fontId="0" fillId="0" borderId="0" xfId="0" applyAlignment="1">
      <alignment horizontal="left"/>
    </xf>
    <xf numFmtId="0" fontId="1" fillId="2" borderId="0" xfId="0" applyFont="1" applyFill="1" applyAlignment="1">
      <alignment horizontal="center" vertical="top"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22" fontId="2"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0" fillId="0" borderId="0" xfId="0" applyAlignment="1">
      <alignment vertical="center" wrapText="1"/>
    </xf>
    <xf numFmtId="0" fontId="0" fillId="3" borderId="0" xfId="0" applyFill="1" applyAlignment="1">
      <alignment wrapText="1"/>
    </xf>
    <xf numFmtId="0" fontId="1" fillId="0" borderId="6" xfId="0" applyFont="1" applyBorder="1" applyAlignment="1">
      <alignment horizontal="center" vertical="top" wrapText="1"/>
    </xf>
    <xf numFmtId="0" fontId="2" fillId="0" borderId="4" xfId="0" applyFont="1" applyBorder="1" applyAlignment="1">
      <alignment horizontal="right" wrapText="1"/>
    </xf>
    <xf numFmtId="0" fontId="1" fillId="0" borderId="7" xfId="0" applyFont="1" applyBorder="1" applyAlignment="1">
      <alignment horizontal="center" vertical="top" wrapText="1"/>
    </xf>
    <xf numFmtId="0" fontId="2" fillId="0" borderId="8" xfId="0" applyFont="1" applyBorder="1" applyAlignment="1">
      <alignment wrapText="1"/>
    </xf>
    <xf numFmtId="0" fontId="0" fillId="0" borderId="0" xfId="0" applyAlignment="1">
      <alignment horizontal="left" vertical="center" indent="1"/>
    </xf>
    <xf numFmtId="0" fontId="0" fillId="0" borderId="0" xfId="0" applyAlignment="1">
      <alignment horizontal="left" vertical="center" indent="2"/>
    </xf>
    <xf numFmtId="0" fontId="4" fillId="0" borderId="0" xfId="0" applyFont="1"/>
    <xf numFmtId="0" fontId="1" fillId="0" borderId="9" xfId="0" applyFont="1" applyBorder="1" applyAlignment="1">
      <alignment horizontal="center" vertical="top" wrapText="1"/>
    </xf>
    <xf numFmtId="0" fontId="1" fillId="0" borderId="10" xfId="0" applyFont="1" applyBorder="1" applyAlignment="1">
      <alignment horizontal="center" vertical="top" wrapText="1"/>
    </xf>
    <xf numFmtId="22" fontId="2" fillId="0" borderId="5" xfId="0" applyNumberFormat="1" applyFont="1" applyBorder="1" applyAlignment="1">
      <alignment horizontal="right" wrapText="1"/>
    </xf>
    <xf numFmtId="0" fontId="2" fillId="0" borderId="5" xfId="0" applyFont="1" applyBorder="1" applyAlignment="1">
      <alignment horizontal="right" wrapText="1"/>
    </xf>
    <xf numFmtId="0" fontId="1" fillId="0" borderId="0" xfId="0" applyFont="1" applyAlignment="1">
      <alignment horizontal="center" vertical="top" wrapText="1"/>
    </xf>
    <xf numFmtId="0" fontId="5" fillId="0" borderId="0" xfId="0" applyFont="1"/>
    <xf numFmtId="0" fontId="6" fillId="0" borderId="0" xfId="0" applyFont="1"/>
    <xf numFmtId="0" fontId="7" fillId="0" borderId="0" xfId="0" applyFont="1" applyAlignment="1">
      <alignment horizontal="left" vertical="center" indent="6"/>
    </xf>
    <xf numFmtId="0" fontId="10" fillId="0" borderId="0" xfId="0" applyFont="1"/>
    <xf numFmtId="0" fontId="1" fillId="2" borderId="11" xfId="0" applyFont="1" applyFill="1" applyBorder="1" applyAlignment="1">
      <alignment wrapText="1"/>
    </xf>
    <xf numFmtId="0" fontId="2" fillId="0" borderId="12" xfId="0" applyFont="1" applyBorder="1" applyAlignment="1">
      <alignment wrapText="1"/>
    </xf>
    <xf numFmtId="0" fontId="0" fillId="0" borderId="13" xfId="0" applyBorder="1"/>
  </cellXfs>
  <cellStyles count="1">
    <cellStyle name="Normal" xfId="0" builtinId="0"/>
  </cellStyles>
  <dxfs count="22">
    <dxf>
      <font>
        <b val="0"/>
        <i val="0"/>
        <strike val="0"/>
        <condense val="0"/>
        <extend val="0"/>
        <outline val="0"/>
        <shadow val="0"/>
        <u val="none"/>
        <vertAlign val="baseline"/>
        <sz val="11"/>
        <color theme="1"/>
        <name val="Calibri"/>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scheme val="none"/>
      </font>
      <numFmt numFmtId="27" formatCode="dd/mm/yyyy\ h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border outline="0">
        <bottom style="medium">
          <color rgb="FF000000"/>
        </bottom>
      </border>
    </dxf>
    <dxf>
      <font>
        <b/>
        <i val="0"/>
        <strike val="0"/>
        <condense val="0"/>
        <extend val="0"/>
        <outline val="0"/>
        <shadow val="0"/>
        <u val="none"/>
        <vertAlign val="baseline"/>
        <sz val="11"/>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top style="medium">
          <color rgb="FF000000"/>
        </top>
        <bottom style="medium">
          <color rgb="FFCCCCCC"/>
        </bottom>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000000"/>
        </top>
        <bottom style="medium">
          <color rgb="FFCCCCCC"/>
        </bottom>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scheme val="none"/>
      </font>
      <alignment horizontal="center" vertical="top" textRotation="0" wrapText="1" indent="0" justifyLastLine="0" shrinkToFit="0" readingOrder="0"/>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5.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ASS.docx.xlsx]Q5,Q6!PivotTable6</c:name>
    <c:fmtId val="0"/>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'Q5,Q6'!$H$3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'Q5,Q6'!$G$4:$G$10</c:f>
              <c:strCache>
                <c:ptCount val="6"/>
                <c:pt idx="0">
                  <c:v>Jan</c:v>
                </c:pt>
                <c:pt idx="1">
                  <c:v>Feb</c:v>
                </c:pt>
                <c:pt idx="2">
                  <c:v>Mar</c:v>
                </c:pt>
                <c:pt idx="3">
                  <c:v>Apr</c:v>
                </c:pt>
                <c:pt idx="4">
                  <c:v>May</c:v>
                </c:pt>
                <c:pt idx="5">
                  <c:v>Jun</c:v>
                </c:pt>
              </c:strCache>
            </c:strRef>
          </c:cat>
          <c:val>
            <c:numRef>
              <c:f>'Q5,Q6'!$H$4:$H$10</c:f>
              <c:numCache>
                <c:formatCode>General</c:formatCode>
                <c:ptCount val="6"/>
                <c:pt idx="0">
                  <c:v>1281</c:v>
                </c:pt>
                <c:pt idx="1">
                  <c:v>1032</c:v>
                </c:pt>
                <c:pt idx="2">
                  <c:v>958</c:v>
                </c:pt>
                <c:pt idx="3">
                  <c:v>1155</c:v>
                </c:pt>
                <c:pt idx="4">
                  <c:v>1286</c:v>
                </c:pt>
                <c:pt idx="5">
                  <c:v>1117</c:v>
                </c:pt>
              </c:numCache>
            </c:numRef>
          </c:val>
          <c:extLst xmlns:c16r2="http://schemas.microsoft.com/office/drawing/2015/06/chart">
            <c:ext xmlns:c16="http://schemas.microsoft.com/office/drawing/2014/chart" uri="{C3380CC4-5D6E-409C-BE32-E72D297353CC}">
              <c16:uniqueId val="{00000000-7C5A-4AEB-B829-D9F147EF1194}"/>
            </c:ext>
          </c:extLst>
        </c:ser>
        <c:dLbls>
          <c:showLegendKey val="0"/>
          <c:showVal val="0"/>
          <c:showCatName val="0"/>
          <c:showSerName val="0"/>
          <c:showPercent val="0"/>
          <c:showBubbleSize val="0"/>
        </c:dLbls>
        <c:gapWidth val="315"/>
        <c:overlap val="-40"/>
        <c:axId val="404480344"/>
        <c:axId val="404479168"/>
      </c:barChart>
      <c:catAx>
        <c:axId val="4044803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4479168"/>
        <c:crosses val="autoZero"/>
        <c:auto val="1"/>
        <c:lblAlgn val="ctr"/>
        <c:lblOffset val="100"/>
        <c:noMultiLvlLbl val="0"/>
      </c:catAx>
      <c:valAx>
        <c:axId val="4044791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44803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a:t>
            </a:r>
            <a:r>
              <a:rPr lang="en-US" baseline="0"/>
              <a:t> sales trend </a:t>
            </a:r>
            <a:endParaRPr lang="en-US"/>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manualLayout>
          <c:layoutTarget val="inner"/>
          <c:xMode val="edge"/>
          <c:yMode val="edge"/>
          <c:x val="0.23959055118110237"/>
          <c:y val="0.14393518518518519"/>
          <c:w val="0.74982152230971133"/>
          <c:h val="0.72125801983085447"/>
        </c:manualLayout>
      </c:layout>
      <c:lineChart>
        <c:grouping val="standard"/>
        <c:varyColors val="0"/>
        <c:ser>
          <c:idx val="0"/>
          <c:order val="0"/>
          <c:tx>
            <c:strRef>
              <c:f>'Q8'!$A$3</c:f>
              <c:strCache>
                <c:ptCount val="1"/>
                <c:pt idx="0">
                  <c:v>Date</c:v>
                </c:pt>
              </c:strCache>
            </c:strRef>
          </c:tx>
          <c:spPr>
            <a:ln w="34925" cap="rnd">
              <a:solidFill>
                <a:schemeClr val="lt1"/>
              </a:solidFill>
              <a:round/>
            </a:ln>
            <a:effectLst>
              <a:outerShdw dist="25400" dir="2700000" algn="tl" rotWithShape="0">
                <a:schemeClr val="accent1"/>
              </a:outerShdw>
            </a:effectLst>
          </c:spPr>
          <c:marker>
            <c:symbol val="none"/>
          </c:marker>
          <c:val>
            <c:numRef>
              <c:f>'Q8'!$A$4:$A$23</c:f>
              <c:numCache>
                <c:formatCode>m/d/yyyy\ h:mm</c:formatCode>
                <c:ptCount val="20"/>
                <c:pt idx="0">
                  <c:v>45292</c:v>
                </c:pt>
                <c:pt idx="1">
                  <c:v>45301.526319444441</c:v>
                </c:pt>
                <c:pt idx="2">
                  <c:v>45311.052627314813</c:v>
                </c:pt>
                <c:pt idx="3">
                  <c:v>45320.578946759262</c:v>
                </c:pt>
                <c:pt idx="4">
                  <c:v>45330.105266203704</c:v>
                </c:pt>
                <c:pt idx="5">
                  <c:v>45339.631574074076</c:v>
                </c:pt>
                <c:pt idx="6">
                  <c:v>45349.157893518517</c:v>
                </c:pt>
                <c:pt idx="7">
                  <c:v>45358.684212962966</c:v>
                </c:pt>
                <c:pt idx="8">
                  <c:v>45368.210520833331</c:v>
                </c:pt>
                <c:pt idx="9">
                  <c:v>45377.736840277779</c:v>
                </c:pt>
                <c:pt idx="10">
                  <c:v>45387.263159722221</c:v>
                </c:pt>
                <c:pt idx="11">
                  <c:v>45396.789479166669</c:v>
                </c:pt>
                <c:pt idx="12">
                  <c:v>45406.315787037034</c:v>
                </c:pt>
                <c:pt idx="13">
                  <c:v>45415.842106481483</c:v>
                </c:pt>
                <c:pt idx="14">
                  <c:v>45425.368425925924</c:v>
                </c:pt>
                <c:pt idx="15">
                  <c:v>45434.894733796296</c:v>
                </c:pt>
                <c:pt idx="16">
                  <c:v>45444.421053240738</c:v>
                </c:pt>
                <c:pt idx="17">
                  <c:v>45453.947372685187</c:v>
                </c:pt>
                <c:pt idx="18">
                  <c:v>45463.473680555559</c:v>
                </c:pt>
                <c:pt idx="19">
                  <c:v>45473</c:v>
                </c:pt>
              </c:numCache>
            </c:numRef>
          </c:val>
          <c:smooth val="0"/>
          <c:extLst xmlns:c16r2="http://schemas.microsoft.com/office/drawing/2015/06/chart">
            <c:ext xmlns:c16="http://schemas.microsoft.com/office/drawing/2014/chart" uri="{C3380CC4-5D6E-409C-BE32-E72D297353CC}">
              <c16:uniqueId val="{00000000-791F-4E8A-8A3E-9D51F1389DE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404481520"/>
        <c:axId val="404481128"/>
      </c:lineChart>
      <c:catAx>
        <c:axId val="404481520"/>
        <c:scaling>
          <c:orientation val="minMax"/>
        </c:scaling>
        <c:delete val="0"/>
        <c:axPos val="b"/>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04481128"/>
        <c:crosses val="autoZero"/>
        <c:auto val="1"/>
        <c:lblAlgn val="ctr"/>
        <c:lblOffset val="100"/>
        <c:noMultiLvlLbl val="0"/>
      </c:catAx>
      <c:valAx>
        <c:axId val="404481128"/>
        <c:scaling>
          <c:orientation val="minMax"/>
        </c:scaling>
        <c:delete val="0"/>
        <c:axPos val="l"/>
        <c:numFmt formatCode="m/d/yyyy\ h:m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0448152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6</xdr:col>
      <xdr:colOff>1037166</xdr:colOff>
      <xdr:row>94</xdr:row>
      <xdr:rowOff>34766</xdr:rowOff>
    </xdr:from>
    <xdr:to>
      <xdr:col>8</xdr:col>
      <xdr:colOff>657860</xdr:colOff>
      <xdr:row>107</xdr:row>
      <xdr:rowOff>144304</xdr:rowOff>
    </xdr:to>
    <mc:AlternateContent xmlns:mc="http://schemas.openxmlformats.org/markup-compatibility/2006" xmlns:sle15="http://schemas.microsoft.com/office/drawing/2012/slicer">
      <mc:Choice Requires="sle15">
        <xdr:graphicFrame macro="">
          <xdr:nvGraphicFramePr>
            <xdr:cNvPr id="4" name="Product">
              <a:extLst>
                <a:ext uri="{FF2B5EF4-FFF2-40B4-BE49-F238E27FC236}">
                  <a16:creationId xmlns:a16="http://schemas.microsoft.com/office/drawing/2014/main" xmlns="" id="{F1B31A54-B27B-21C3-9F9E-A107DF09AA0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629400" y="20574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8</xdr:col>
      <xdr:colOff>295275</xdr:colOff>
      <xdr:row>58</xdr:row>
      <xdr:rowOff>152400</xdr:rowOff>
    </xdr:from>
    <xdr:to>
      <xdr:col>14</xdr:col>
      <xdr:colOff>6205</xdr:colOff>
      <xdr:row>73</xdr:row>
      <xdr:rowOff>148836</xdr:rowOff>
    </xdr:to>
    <xdr:pic>
      <xdr:nvPicPr>
        <xdr:cNvPr id="3" name="Picture 2">
          <a:extLst>
            <a:ext uri="{FF2B5EF4-FFF2-40B4-BE49-F238E27FC236}">
              <a16:creationId xmlns:a16="http://schemas.microsoft.com/office/drawing/2014/main" xmlns="" id="{F775E21E-E83B-19EF-9D17-BF199C5D2930}"/>
            </a:ext>
          </a:extLst>
        </xdr:cNvPr>
        <xdr:cNvPicPr>
          <a:picLocks noChangeAspect="1"/>
        </xdr:cNvPicPr>
      </xdr:nvPicPr>
      <xdr:blipFill>
        <a:blip xmlns:r="http://schemas.openxmlformats.org/officeDocument/2006/relationships" r:embed="rId1"/>
        <a:stretch>
          <a:fillRect/>
        </a:stretch>
      </xdr:blipFill>
      <xdr:spPr>
        <a:xfrm>
          <a:off x="8105775" y="14039850"/>
          <a:ext cx="5654530" cy="28348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457200</xdr:colOff>
      <xdr:row>10</xdr:row>
      <xdr:rowOff>118110</xdr:rowOff>
    </xdr:from>
    <xdr:to>
      <xdr:col>12</xdr:col>
      <xdr:colOff>335280</xdr:colOff>
      <xdr:row>25</xdr:row>
      <xdr:rowOff>19050</xdr:rowOff>
    </xdr:to>
    <xdr:graphicFrame macro="">
      <xdr:nvGraphicFramePr>
        <xdr:cNvPr id="4" name="Chart 3">
          <a:extLst>
            <a:ext uri="{FF2B5EF4-FFF2-40B4-BE49-F238E27FC236}">
              <a16:creationId xmlns:a16="http://schemas.microsoft.com/office/drawing/2014/main" xmlns="" id="{D185D6A8-3007-C161-8A7A-847B4F275A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531495</xdr:colOff>
      <xdr:row>34</xdr:row>
      <xdr:rowOff>120015</xdr:rowOff>
    </xdr:from>
    <xdr:to>
      <xdr:col>6</xdr:col>
      <xdr:colOff>531495</xdr:colOff>
      <xdr:row>48</xdr:row>
      <xdr:rowOff>34290</xdr:rowOff>
    </xdr:to>
    <mc:AlternateContent xmlns:mc="http://schemas.openxmlformats.org/markup-compatibility/2006" xmlns:sle15="http://schemas.microsoft.com/office/drawing/2012/slicer">
      <mc:Choice Requires="sle15">
        <xdr:graphicFrame macro="">
          <xdr:nvGraphicFramePr>
            <xdr:cNvPr id="2" name="Product 2">
              <a:extLst>
                <a:ext uri="{FF2B5EF4-FFF2-40B4-BE49-F238E27FC236}">
                  <a16:creationId xmlns:a16="http://schemas.microsoft.com/office/drawing/2014/main" xmlns="" id="{77F964A5-5D76-3AD4-C792-8352C11867EB}"/>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3027045" y="6711315"/>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5</xdr:col>
      <xdr:colOff>541020</xdr:colOff>
      <xdr:row>12</xdr:row>
      <xdr:rowOff>83820</xdr:rowOff>
    </xdr:from>
    <xdr:to>
      <xdr:col>8</xdr:col>
      <xdr:colOff>297180</xdr:colOff>
      <xdr:row>26</xdr:row>
      <xdr:rowOff>28575</xdr:rowOff>
    </xdr:to>
    <mc:AlternateContent xmlns:mc="http://schemas.openxmlformats.org/markup-compatibility/2006" xmlns:sle15="http://schemas.microsoft.com/office/drawing/2012/slicer">
      <mc:Choice Requires="sle15">
        <xdr:graphicFrame macro="">
          <xdr:nvGraphicFramePr>
            <xdr:cNvPr id="3" name="Product 1">
              <a:extLst>
                <a:ext uri="{FF2B5EF4-FFF2-40B4-BE49-F238E27FC236}">
                  <a16:creationId xmlns:a16="http://schemas.microsoft.com/office/drawing/2014/main" xmlns="" id="{27D3BE05-B99B-2D4F-D104-71F94B0306A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450080" y="24384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9</xdr:col>
      <xdr:colOff>137160</xdr:colOff>
      <xdr:row>8</xdr:row>
      <xdr:rowOff>95250</xdr:rowOff>
    </xdr:from>
    <xdr:to>
      <xdr:col>14</xdr:col>
      <xdr:colOff>502920</xdr:colOff>
      <xdr:row>22</xdr:row>
      <xdr:rowOff>171450</xdr:rowOff>
    </xdr:to>
    <xdr:graphicFrame macro="">
      <xdr:nvGraphicFramePr>
        <xdr:cNvPr id="5" name="Chart 4">
          <a:extLst>
            <a:ext uri="{FF2B5EF4-FFF2-40B4-BE49-F238E27FC236}">
              <a16:creationId xmlns:a16="http://schemas.microsoft.com/office/drawing/2014/main" xmlns="" id="{D9031027-2DF1-253E-A954-C61DC9E7F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PREM%20MAHAJAN/AppData/Roaming/Microsoft/Excel/Book1%20(version%202).xlsb"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PREM MAHAJAN" refreshedDate="46172.345452314818" createdVersion="8" refreshedVersion="8" minRefreshableVersion="3" recordCount="20">
  <cacheSource type="worksheet">
    <worksheetSource ref="A6:E26" sheet="Sheet1" r:id="rId2"/>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PREM MAHAJAN" refreshedDate="46172.40621828704" createdVersion="8" refreshedVersion="8" minRefreshableVersion="3" recordCount="20">
  <cacheSource type="worksheet">
    <worksheetSource ref="A3:E23" sheet="Q5,Q6"/>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PREM MAHAJAN" refreshedDate="46172.445620023151" createdVersion="8" refreshedVersion="8" minRefreshableVersion="3" recordCount="20">
  <cacheSource type="worksheet">
    <worksheetSource ref="A3:E23" sheet="Q8"/>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PREM MAHAJAN" refreshedDate="46172.591800925926" createdVersion="8" refreshedVersion="8" minRefreshableVersion="3" recordCount="20">
  <cacheSource type="worksheet">
    <worksheetSource ref="B4:E24" sheet="Q9"/>
  </cacheSource>
  <cacheFields count="6">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cacheField>
    <cacheField name="Region" numFmtId="0">
      <sharedItems/>
    </cacheField>
    <cacheField name="Product" numFmtId="0">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PREM MAHAJAN" refreshedDate="46172.737928819442" createdVersion="8" refreshedVersion="8" minRefreshableVersion="3" recordCount="20">
  <cacheSource type="worksheet">
    <worksheetSource ref="C3:D23" sheet="Q10"/>
  </cacheSource>
  <cacheFields count="2">
    <cacheField name="Product" numFmtId="0">
      <sharedItems count="3">
        <s v="Mangoes"/>
        <s v="Oranges"/>
        <s v="Apples"/>
      </sharedItems>
    </cacheField>
    <cacheField name="Sales" numFmtId="0">
      <sharedItems containsSemiMixedTypes="0" containsString="0" containsNumber="1" containsInteger="1" minValue="53" maxValue="4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x v="0"/>
    <n v="93"/>
  </r>
  <r>
    <x v="1"/>
    <s v="South"/>
    <s v="Oranges"/>
    <x v="1"/>
    <n v="56"/>
  </r>
  <r>
    <x v="2"/>
    <s v="South"/>
    <s v="Mangoes"/>
    <x v="2"/>
    <n v="76"/>
  </r>
  <r>
    <x v="3"/>
    <s v="West"/>
    <s v="Apples"/>
    <x v="3"/>
    <n v="37"/>
  </r>
  <r>
    <x v="4"/>
    <s v="West"/>
    <s v="Mangoes"/>
    <x v="4"/>
    <n v="50"/>
  </r>
  <r>
    <x v="5"/>
    <s v="West"/>
    <s v="Oranges"/>
    <x v="5"/>
    <n v="52"/>
  </r>
  <r>
    <x v="6"/>
    <s v="South"/>
    <s v="Apples"/>
    <x v="6"/>
    <n v="29"/>
  </r>
  <r>
    <x v="7"/>
    <s v="West"/>
    <s v="Apples"/>
    <x v="7"/>
    <n v="44"/>
  </r>
  <r>
    <x v="8"/>
    <s v="South"/>
    <s v="Mangoes"/>
    <x v="8"/>
    <n v="63"/>
  </r>
  <r>
    <x v="9"/>
    <s v="West"/>
    <s v="Oranges"/>
    <x v="7"/>
    <n v="79"/>
  </r>
  <r>
    <x v="10"/>
    <s v="South"/>
    <s v="Mangoes"/>
    <x v="9"/>
    <n v="23"/>
  </r>
  <r>
    <x v="11"/>
    <s v="West"/>
    <s v="Oranges"/>
    <x v="10"/>
    <n v="97"/>
  </r>
  <r>
    <x v="12"/>
    <s v="East"/>
    <s v="Mangoes"/>
    <x v="11"/>
    <n v="97"/>
  </r>
  <r>
    <x v="13"/>
    <s v="West"/>
    <s v="Mangoes"/>
    <x v="12"/>
    <n v="92"/>
  </r>
  <r>
    <x v="14"/>
    <s v="South"/>
    <s v="Oranges"/>
    <x v="13"/>
    <n v="71"/>
  </r>
  <r>
    <x v="15"/>
    <s v="South"/>
    <s v="Mangoes"/>
    <x v="14"/>
    <n v="81"/>
  </r>
  <r>
    <x v="16"/>
    <s v="West"/>
    <s v="Oranges"/>
    <x v="15"/>
    <n v="45"/>
  </r>
  <r>
    <x v="17"/>
    <s v="West"/>
    <s v="Apples"/>
    <x v="16"/>
    <n v="33"/>
  </r>
  <r>
    <x v="18"/>
    <s v="North"/>
    <s v="Oranges"/>
    <x v="17"/>
    <n v="35"/>
  </r>
  <r>
    <x v="19"/>
    <s v="South"/>
    <s v="Apples"/>
    <x v="18"/>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x v="0"/>
  </r>
  <r>
    <x v="1"/>
    <s v="South"/>
    <s v="Oranges"/>
    <x v="1"/>
  </r>
  <r>
    <x v="2"/>
    <s v="South"/>
    <s v="Mangoes"/>
    <x v="2"/>
  </r>
  <r>
    <x v="3"/>
    <s v="West"/>
    <s v="Apples"/>
    <x v="3"/>
  </r>
  <r>
    <x v="4"/>
    <s v="West"/>
    <s v="Mangoes"/>
    <x v="4"/>
  </r>
  <r>
    <x v="5"/>
    <s v="West"/>
    <s v="Oranges"/>
    <x v="5"/>
  </r>
  <r>
    <x v="6"/>
    <s v="South"/>
    <s v="Apples"/>
    <x v="6"/>
  </r>
  <r>
    <x v="7"/>
    <s v="West"/>
    <s v="Apples"/>
    <x v="7"/>
  </r>
  <r>
    <x v="8"/>
    <s v="South"/>
    <s v="Mangoes"/>
    <x v="8"/>
  </r>
  <r>
    <x v="9"/>
    <s v="West"/>
    <s v="Oranges"/>
    <x v="7"/>
  </r>
  <r>
    <x v="10"/>
    <s v="South"/>
    <s v="Mangoes"/>
    <x v="9"/>
  </r>
  <r>
    <x v="11"/>
    <s v="West"/>
    <s v="Oranges"/>
    <x v="10"/>
  </r>
  <r>
    <x v="12"/>
    <s v="East"/>
    <s v="Mangoes"/>
    <x v="11"/>
  </r>
  <r>
    <x v="13"/>
    <s v="West"/>
    <s v="Mangoes"/>
    <x v="12"/>
  </r>
  <r>
    <x v="14"/>
    <s v="South"/>
    <s v="Oranges"/>
    <x v="13"/>
  </r>
  <r>
    <x v="15"/>
    <s v="South"/>
    <s v="Mangoes"/>
    <x v="14"/>
  </r>
  <r>
    <x v="16"/>
    <s v="West"/>
    <s v="Oranges"/>
    <x v="15"/>
  </r>
  <r>
    <x v="17"/>
    <s v="West"/>
    <s v="Apples"/>
    <x v="16"/>
  </r>
  <r>
    <x v="18"/>
    <s v="North"/>
    <s v="Oranges"/>
    <x v="17"/>
  </r>
  <r>
    <x v="19"/>
    <s v="South"/>
    <s v="Apples"/>
    <x v="1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456"/>
  </r>
  <r>
    <x v="1"/>
    <n v="348"/>
  </r>
  <r>
    <x v="0"/>
    <n v="247"/>
  </r>
  <r>
    <x v="2"/>
    <n v="230"/>
  </r>
  <r>
    <x v="0"/>
    <n v="281"/>
  </r>
  <r>
    <x v="1"/>
    <n v="334"/>
  </r>
  <r>
    <x v="2"/>
    <n v="417"/>
  </r>
  <r>
    <x v="2"/>
    <n v="441"/>
  </r>
  <r>
    <x v="0"/>
    <n v="76"/>
  </r>
  <r>
    <x v="1"/>
    <n v="441"/>
  </r>
  <r>
    <x v="0"/>
    <n v="205"/>
  </r>
  <r>
    <x v="1"/>
    <n v="483"/>
  </r>
  <r>
    <x v="0"/>
    <n v="467"/>
  </r>
  <r>
    <x v="0"/>
    <n v="380"/>
  </r>
  <r>
    <x v="1"/>
    <n v="497"/>
  </r>
  <r>
    <x v="0"/>
    <n v="409"/>
  </r>
  <r>
    <x v="1"/>
    <n v="53"/>
  </r>
  <r>
    <x v="2"/>
    <n v="398"/>
  </r>
  <r>
    <x v="1"/>
    <n v="347"/>
  </r>
  <r>
    <x v="2"/>
    <n v="3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I14" firstHeaderRow="1" firstDataRow="1" firstDataCol="1" rowPageCount="1" colPageCount="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axis="axisPage" multipleItemSelectionAllowed="1" showAll="0">
      <items count="4">
        <item x="2"/>
        <item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t="grand">
      <x/>
    </i>
  </rowItems>
  <colItems count="1">
    <i/>
  </colItems>
  <pageFields count="1">
    <pageField fld="2" hier="-1"/>
  </pageFields>
  <dataFields count="1">
    <dataField name="Sum of Sales" fld="3" baseField="0" baseItem="0"/>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3:H1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items count="20">
        <item x="15"/>
        <item x="8"/>
        <item x="9"/>
        <item x="3"/>
        <item x="2"/>
        <item x="4"/>
        <item x="18"/>
        <item x="5"/>
        <item x="17"/>
        <item x="1"/>
        <item x="12"/>
        <item x="16"/>
        <item x="14"/>
        <item x="6"/>
        <item x="7"/>
        <item x="0"/>
        <item x="11"/>
        <item x="10"/>
        <item x="1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6:H11"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J15" firstHeaderRow="1" firstDataRow="1" firstDataCol="1"/>
  <pivotFields count="6">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items count="20">
        <item x="15"/>
        <item x="8"/>
        <item x="9"/>
        <item x="3"/>
        <item x="2"/>
        <item x="4"/>
        <item x="18"/>
        <item x="5"/>
        <item x="17"/>
        <item x="1"/>
        <item x="12"/>
        <item x="16"/>
        <item x="14"/>
        <item x="6"/>
        <item x="7"/>
        <item x="0"/>
        <item x="11"/>
        <item x="10"/>
        <item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v="1"/>
    </i>
    <i>
      <x v="2"/>
    </i>
    <i>
      <x v="3"/>
    </i>
    <i>
      <x v="4"/>
    </i>
    <i>
      <x v="5"/>
    </i>
    <i>
      <x v="6"/>
    </i>
    <i t="grand">
      <x/>
    </i>
  </rowItems>
  <colItems count="1">
    <i/>
  </colItems>
  <dataFields count="1">
    <dataField name="Average of Sales" fld="3" subtotal="average" baseField="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4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K7" firstHeaderRow="1" firstDataRow="1" firstDataCol="1"/>
  <pivotFields count="2">
    <pivotField axis="axisRow" showAll="0">
      <items count="4">
        <item h="1" x="2"/>
        <item x="0"/>
        <item h="1" x="1"/>
        <item t="default"/>
      </items>
    </pivotField>
    <pivotField dataField="1" showAll="0"/>
  </pivotFields>
  <rowFields count="1">
    <field x="0"/>
  </rowFields>
  <rowItems count="2">
    <i>
      <x v="1"/>
    </i>
    <i t="grand">
      <x/>
    </i>
  </rowItems>
  <colItems count="1">
    <i/>
  </colItems>
  <dataFields count="1">
    <dataField name="Sum of Sal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4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H8" firstHeaderRow="1" firstDataRow="1" firstDataCol="1"/>
  <pivotFields count="2">
    <pivotField axis="axisRow" showAll="0">
      <items count="4">
        <item x="2"/>
        <item h="1" x="0"/>
        <item x="1"/>
        <item t="default"/>
      </items>
    </pivotField>
    <pivotField dataField="1" showAll="0"/>
  </pivotFields>
  <rowFields count="1">
    <field x="0"/>
  </rowFields>
  <rowItems count="3">
    <i>
      <x/>
    </i>
    <i>
      <x v="2"/>
    </i>
    <i t="grand">
      <x/>
    </i>
  </rowItems>
  <colItems count="1">
    <i/>
  </colItems>
  <dataFields count="1">
    <dataField name="Sum of Sales" fld="1" baseField="0" baseItem="0"/>
  </dataField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2" sourceName="Product">
  <extLst>
    <x:ext xmlns:x15="http://schemas.microsoft.com/office/spreadsheetml/2010/11/main" uri="{2F2917AC-EB37-4324-AD4E-5DD8C200BD13}">
      <x15:tableSlicerCache tableId="2"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1" sourceName="Product">
  <extLst>
    <x:ext xmlns:x15="http://schemas.microsoft.com/office/spreadsheetml/2010/11/main" uri="{2F2917AC-EB37-4324-AD4E-5DD8C200BD13}">
      <x15:tableSlicerCache tableId="3"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style="SlicerStyleDark5" rowHeight="24765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2" cache="Slicer_Product2" caption="Product" style="SlicerStyleLight6" rowHeight="247650"/>
</slicers>
</file>

<file path=xl/slicers/slicer3.xml><?xml version="1.0" encoding="utf-8"?>
<slicers xmlns="http://schemas.microsoft.com/office/spreadsheetml/2009/9/main" xmlns:mc="http://schemas.openxmlformats.org/markup-compatibility/2006" xmlns:x="http://schemas.openxmlformats.org/spreadsheetml/2006/main" mc:Ignorable="x">
  <slicer name="Product 1" cache="Slicer_Product1" caption="Product" style="SlicerStyleLight3" rowHeight="247650"/>
</slicers>
</file>

<file path=xl/tables/table1.xml><?xml version="1.0" encoding="utf-8"?>
<table xmlns="http://schemas.openxmlformats.org/spreadsheetml/2006/main" id="1" name="Table1" displayName="Table1" ref="D85:D105" totalsRowShown="0" headerRowDxfId="20" dataDxfId="18" headerRowBorderDxfId="19" tableBorderDxfId="17" totalsRowBorderDxfId="16">
  <autoFilter ref="D85:D105"/>
  <tableColumns count="1">
    <tableColumn id="1" name="Product" dataDxfId="15"/>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32:A52" totalsRowShown="0" headerRowDxfId="14" dataDxfId="12" headerRowBorderDxfId="13" tableBorderDxfId="11" totalsRowBorderDxfId="10">
  <autoFilter ref="A32:A52"/>
  <tableColumns count="1">
    <tableColumn id="1" name="Product" dataDxfId="9"/>
  </tableColumns>
  <tableStyleInfo name="TableStyleMedium4" showFirstColumn="0" showLastColumn="0" showRowStripes="1" showColumnStripes="0"/>
</table>
</file>

<file path=xl/tables/table3.xml><?xml version="1.0" encoding="utf-8"?>
<table xmlns="http://schemas.openxmlformats.org/spreadsheetml/2006/main" id="3" name="Table3" displayName="Table3" ref="A3:E23" totalsRowShown="0" headerRowDxfId="8" headerRowBorderDxfId="7" tableBorderDxfId="6" totalsRowBorderDxfId="5">
  <autoFilter ref="A3:E23"/>
  <tableColumns count="5">
    <tableColumn id="1" name="Date" dataDxfId="4"/>
    <tableColumn id="2" name="Region" dataDxfId="3"/>
    <tableColumn id="3" name="Product" dataDxfId="2"/>
    <tableColumn id="4" name="Sales" dataDxfId="1"/>
    <tableColumn id="5" name="Quantity"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4:S105"/>
  <sheetViews>
    <sheetView topLeftCell="A73" zoomScale="80" zoomScaleNormal="80" workbookViewId="0">
      <selection activeCell="G36" sqref="G36"/>
    </sheetView>
  </sheetViews>
  <sheetFormatPr defaultRowHeight="14.25"/>
  <cols>
    <col min="1" max="1" width="15.625" customWidth="1"/>
    <col min="2" max="2" width="18.5" customWidth="1"/>
    <col min="3" max="3" width="11.25" customWidth="1"/>
    <col min="4" max="4" width="12.125" customWidth="1"/>
    <col min="5" max="5" width="10.25" bestFit="1" customWidth="1"/>
    <col min="6" max="6" width="13.875" customWidth="1"/>
    <col min="7" max="7" width="15.375" bestFit="1" customWidth="1"/>
    <col min="8" max="8" width="16.875" customWidth="1"/>
    <col min="9" max="12" width="15.375" bestFit="1" customWidth="1"/>
    <col min="13" max="13" width="10.25" bestFit="1" customWidth="1"/>
    <col min="14" max="23" width="15.375" bestFit="1" customWidth="1"/>
    <col min="24" max="24" width="9.625" bestFit="1" customWidth="1"/>
    <col min="25" max="25" width="10.5" bestFit="1" customWidth="1"/>
  </cols>
  <sheetData>
    <row r="4" spans="1:9" ht="21" thickBot="1">
      <c r="A4" s="35" t="s">
        <v>37</v>
      </c>
    </row>
    <row r="5" spans="1:9" ht="16.5" thickBot="1">
      <c r="A5" s="8"/>
      <c r="B5" s="9"/>
      <c r="C5" s="9"/>
      <c r="D5" s="10"/>
      <c r="E5" s="10"/>
      <c r="F5" s="7"/>
      <c r="G5" s="6"/>
    </row>
    <row r="6" spans="1:9" ht="15.75" thickBot="1">
      <c r="A6" s="1" t="s">
        <v>0</v>
      </c>
      <c r="B6" s="2" t="s">
        <v>1</v>
      </c>
      <c r="C6" s="2" t="s">
        <v>2</v>
      </c>
      <c r="D6" s="2" t="s">
        <v>3</v>
      </c>
      <c r="E6" s="2" t="s">
        <v>4</v>
      </c>
      <c r="F6" s="7"/>
      <c r="H6" s="14" t="s">
        <v>17</v>
      </c>
    </row>
    <row r="7" spans="1:9" ht="15.75" thickBot="1">
      <c r="A7" s="4">
        <v>45292</v>
      </c>
      <c r="B7" s="3" t="s">
        <v>5</v>
      </c>
      <c r="C7" s="3" t="s">
        <v>6</v>
      </c>
      <c r="D7" s="5">
        <v>456</v>
      </c>
      <c r="E7" s="5">
        <v>93</v>
      </c>
      <c r="F7" s="7"/>
      <c r="H7" s="12" t="s">
        <v>2</v>
      </c>
      <c r="I7" t="s">
        <v>14</v>
      </c>
    </row>
    <row r="8" spans="1:9" ht="15.75" thickBot="1">
      <c r="A8" s="4">
        <v>45301.526319444441</v>
      </c>
      <c r="B8" s="3" t="s">
        <v>7</v>
      </c>
      <c r="C8" s="3" t="s">
        <v>8</v>
      </c>
      <c r="D8" s="5">
        <v>348</v>
      </c>
      <c r="E8" s="5">
        <v>56</v>
      </c>
      <c r="F8" s="7"/>
    </row>
    <row r="9" spans="1:9" ht="15.75" thickBot="1">
      <c r="A9" s="4">
        <v>45311.052627314813</v>
      </c>
      <c r="B9" s="3" t="s">
        <v>7</v>
      </c>
      <c r="C9" s="3" t="s">
        <v>6</v>
      </c>
      <c r="D9" s="5">
        <v>247</v>
      </c>
      <c r="E9" s="5">
        <v>76</v>
      </c>
      <c r="F9" s="7"/>
      <c r="H9" s="12" t="s">
        <v>13</v>
      </c>
      <c r="I9" t="s">
        <v>16</v>
      </c>
    </row>
    <row r="10" spans="1:9" ht="15.75" thickBot="1">
      <c r="A10" s="4">
        <v>45320.578946759262</v>
      </c>
      <c r="B10" s="3" t="s">
        <v>5</v>
      </c>
      <c r="C10" s="3" t="s">
        <v>9</v>
      </c>
      <c r="D10" s="5">
        <v>230</v>
      </c>
      <c r="E10" s="5">
        <v>37</v>
      </c>
      <c r="F10" s="7"/>
      <c r="H10" s="13" t="s">
        <v>10</v>
      </c>
      <c r="I10">
        <v>467</v>
      </c>
    </row>
    <row r="11" spans="1:9" ht="15.75" thickBot="1">
      <c r="A11" s="4">
        <v>45330.105266203704</v>
      </c>
      <c r="B11" s="3" t="s">
        <v>5</v>
      </c>
      <c r="C11" s="3" t="s">
        <v>6</v>
      </c>
      <c r="D11" s="5">
        <v>281</v>
      </c>
      <c r="E11" s="5">
        <v>50</v>
      </c>
      <c r="F11" s="7"/>
      <c r="H11" s="13" t="s">
        <v>11</v>
      </c>
      <c r="I11">
        <v>347</v>
      </c>
    </row>
    <row r="12" spans="1:9" ht="15.75" thickBot="1">
      <c r="A12" s="4">
        <v>45339.631574074076</v>
      </c>
      <c r="B12" s="3" t="s">
        <v>5</v>
      </c>
      <c r="C12" s="3" t="s">
        <v>8</v>
      </c>
      <c r="D12" s="5">
        <v>334</v>
      </c>
      <c r="E12" s="5">
        <v>52</v>
      </c>
      <c r="F12" s="7"/>
      <c r="H12" s="13" t="s">
        <v>7</v>
      </c>
      <c r="I12">
        <v>2518</v>
      </c>
    </row>
    <row r="13" spans="1:9" ht="15.75" thickBot="1">
      <c r="A13" s="4">
        <v>45349.157893518517</v>
      </c>
      <c r="B13" s="3" t="s">
        <v>7</v>
      </c>
      <c r="C13" s="3" t="s">
        <v>9</v>
      </c>
      <c r="D13" s="5">
        <v>417</v>
      </c>
      <c r="E13" s="5">
        <v>29</v>
      </c>
      <c r="F13" s="7"/>
      <c r="H13" s="13" t="s">
        <v>5</v>
      </c>
      <c r="I13">
        <v>3497</v>
      </c>
    </row>
    <row r="14" spans="1:9" ht="15.75" thickBot="1">
      <c r="A14" s="4">
        <v>45358.684212962966</v>
      </c>
      <c r="B14" s="3" t="s">
        <v>5</v>
      </c>
      <c r="C14" s="3" t="s">
        <v>9</v>
      </c>
      <c r="D14" s="5">
        <v>441</v>
      </c>
      <c r="E14" s="5">
        <v>44</v>
      </c>
      <c r="F14" s="7"/>
      <c r="H14" s="13" t="s">
        <v>12</v>
      </c>
      <c r="I14">
        <v>6829</v>
      </c>
    </row>
    <row r="15" spans="1:9" ht="15.75" thickBot="1">
      <c r="A15" s="4">
        <v>45368.210520833331</v>
      </c>
      <c r="B15" s="3" t="s">
        <v>7</v>
      </c>
      <c r="C15" s="3" t="s">
        <v>6</v>
      </c>
      <c r="D15" s="5">
        <v>76</v>
      </c>
      <c r="E15" s="5">
        <v>63</v>
      </c>
      <c r="F15" s="7"/>
    </row>
    <row r="16" spans="1:9" ht="15.75" thickBot="1">
      <c r="A16" s="4">
        <v>45377.736840277779</v>
      </c>
      <c r="B16" s="3" t="s">
        <v>5</v>
      </c>
      <c r="C16" s="3" t="s">
        <v>8</v>
      </c>
      <c r="D16" s="5">
        <v>441</v>
      </c>
      <c r="E16" s="5">
        <v>79</v>
      </c>
      <c r="F16" s="7"/>
    </row>
    <row r="17" spans="1:6" ht="15.75" thickBot="1">
      <c r="A17" s="4">
        <v>45387.263159722221</v>
      </c>
      <c r="B17" s="3" t="s">
        <v>7</v>
      </c>
      <c r="C17" s="3" t="s">
        <v>6</v>
      </c>
      <c r="D17" s="5">
        <v>205</v>
      </c>
      <c r="E17" s="5">
        <v>23</v>
      </c>
      <c r="F17" s="7"/>
    </row>
    <row r="18" spans="1:6" ht="15.75" thickBot="1">
      <c r="A18" s="4">
        <v>45396.789479166669</v>
      </c>
      <c r="B18" s="3" t="s">
        <v>5</v>
      </c>
      <c r="C18" s="3" t="s">
        <v>8</v>
      </c>
      <c r="D18" s="5">
        <v>483</v>
      </c>
      <c r="E18" s="5">
        <v>97</v>
      </c>
      <c r="F18" s="7"/>
    </row>
    <row r="19" spans="1:6" ht="15.75" thickBot="1">
      <c r="A19" s="4">
        <v>45406.315787037034</v>
      </c>
      <c r="B19" s="3" t="s">
        <v>10</v>
      </c>
      <c r="C19" s="3" t="s">
        <v>6</v>
      </c>
      <c r="D19" s="5">
        <v>467</v>
      </c>
      <c r="E19" s="5">
        <v>97</v>
      </c>
      <c r="F19" s="7"/>
    </row>
    <row r="20" spans="1:6" ht="15.75" thickBot="1">
      <c r="A20" s="4">
        <v>45415.842106481483</v>
      </c>
      <c r="B20" s="3" t="s">
        <v>5</v>
      </c>
      <c r="C20" s="3" t="s">
        <v>6</v>
      </c>
      <c r="D20" s="5">
        <v>380</v>
      </c>
      <c r="E20" s="5">
        <v>92</v>
      </c>
      <c r="F20" s="7"/>
    </row>
    <row r="21" spans="1:6" ht="15.75" thickBot="1">
      <c r="A21" s="4">
        <v>45425.368425925924</v>
      </c>
      <c r="B21" s="3" t="s">
        <v>7</v>
      </c>
      <c r="C21" s="3" t="s">
        <v>8</v>
      </c>
      <c r="D21" s="5">
        <v>497</v>
      </c>
      <c r="E21" s="5">
        <v>71</v>
      </c>
      <c r="F21" s="7"/>
    </row>
    <row r="22" spans="1:6" ht="15.75" thickBot="1">
      <c r="A22" s="4">
        <v>45434.894733796296</v>
      </c>
      <c r="B22" s="3" t="s">
        <v>7</v>
      </c>
      <c r="C22" s="3" t="s">
        <v>6</v>
      </c>
      <c r="D22" s="5">
        <v>409</v>
      </c>
      <c r="E22" s="5">
        <v>81</v>
      </c>
      <c r="F22" s="7"/>
    </row>
    <row r="23" spans="1:6" ht="15.75" thickBot="1">
      <c r="A23" s="4">
        <v>45444.421053240738</v>
      </c>
      <c r="B23" s="3" t="s">
        <v>5</v>
      </c>
      <c r="C23" s="3" t="s">
        <v>8</v>
      </c>
      <c r="D23" s="5">
        <v>53</v>
      </c>
      <c r="E23" s="5">
        <v>45</v>
      </c>
      <c r="F23" s="7"/>
    </row>
    <row r="24" spans="1:6" ht="15.75" thickBot="1">
      <c r="A24" s="4">
        <v>45453.947372685187</v>
      </c>
      <c r="B24" s="3" t="s">
        <v>5</v>
      </c>
      <c r="C24" s="3" t="s">
        <v>9</v>
      </c>
      <c r="D24" s="5">
        <v>398</v>
      </c>
      <c r="E24" s="5">
        <v>33</v>
      </c>
      <c r="F24" s="7"/>
    </row>
    <row r="25" spans="1:6" ht="15.75" thickBot="1">
      <c r="A25" s="4">
        <v>45463.473680555559</v>
      </c>
      <c r="B25" s="3" t="s">
        <v>11</v>
      </c>
      <c r="C25" s="3" t="s">
        <v>8</v>
      </c>
      <c r="D25" s="5">
        <v>347</v>
      </c>
      <c r="E25" s="5">
        <v>35</v>
      </c>
      <c r="F25" s="7"/>
    </row>
    <row r="26" spans="1:6" ht="15.75" thickBot="1">
      <c r="A26" s="4">
        <v>45473</v>
      </c>
      <c r="B26" s="3" t="s">
        <v>7</v>
      </c>
      <c r="C26" s="3" t="s">
        <v>9</v>
      </c>
      <c r="D26" s="5">
        <v>319</v>
      </c>
      <c r="E26" s="5">
        <v>45</v>
      </c>
      <c r="F26" s="7"/>
    </row>
    <row r="27" spans="1:6" ht="15.75" thickBot="1">
      <c r="A27" s="3"/>
      <c r="B27" s="3"/>
      <c r="C27" s="3"/>
      <c r="D27" s="3"/>
      <c r="E27" s="3"/>
      <c r="F27" s="3"/>
    </row>
    <row r="28" spans="1:6" ht="15.75" thickBot="1">
      <c r="A28" s="3"/>
      <c r="B28" s="3"/>
      <c r="C28" s="3"/>
      <c r="D28" s="3"/>
      <c r="E28" s="3"/>
      <c r="F28" s="3"/>
    </row>
    <row r="29" spans="1:6" ht="15.75" thickBot="1">
      <c r="B29" s="3"/>
      <c r="C29" s="3"/>
      <c r="D29" s="3"/>
      <c r="E29" s="3"/>
      <c r="F29" s="3"/>
    </row>
    <row r="32" spans="1:6" ht="18">
      <c r="A32" s="36" t="s">
        <v>15</v>
      </c>
    </row>
    <row r="34" spans="2:6" ht="15.75" thickBot="1">
      <c r="B34" s="8"/>
      <c r="C34" s="9"/>
      <c r="D34" s="9"/>
      <c r="E34" s="10"/>
      <c r="F34" s="10"/>
    </row>
    <row r="35" spans="2:6" ht="15.75" thickBot="1">
      <c r="B35" s="15" t="s">
        <v>0</v>
      </c>
      <c r="C35" s="16" t="s">
        <v>1</v>
      </c>
      <c r="D35" s="16" t="s">
        <v>2</v>
      </c>
      <c r="E35" s="16" t="s">
        <v>3</v>
      </c>
      <c r="F35" s="16" t="s">
        <v>4</v>
      </c>
    </row>
    <row r="36" spans="2:6" ht="15.75" thickBot="1">
      <c r="B36" s="17">
        <v>45292</v>
      </c>
      <c r="C36" s="18" t="s">
        <v>5</v>
      </c>
      <c r="D36" s="18" t="s">
        <v>6</v>
      </c>
      <c r="E36" s="18">
        <v>456</v>
      </c>
      <c r="F36" s="18">
        <v>93</v>
      </c>
    </row>
    <row r="37" spans="2:6" ht="15.75" thickBot="1">
      <c r="B37" s="17">
        <v>45301.526319444441</v>
      </c>
      <c r="C37" s="18" t="s">
        <v>7</v>
      </c>
      <c r="D37" s="18" t="s">
        <v>8</v>
      </c>
      <c r="E37" s="18">
        <v>348</v>
      </c>
      <c r="F37" s="18">
        <v>56</v>
      </c>
    </row>
    <row r="38" spans="2:6" ht="15.75" thickBot="1">
      <c r="B38" s="17">
        <v>45311.052627314813</v>
      </c>
      <c r="C38" s="18" t="s">
        <v>7</v>
      </c>
      <c r="D38" s="18" t="s">
        <v>6</v>
      </c>
      <c r="E38" s="18">
        <v>247</v>
      </c>
      <c r="F38" s="18">
        <v>76</v>
      </c>
    </row>
    <row r="39" spans="2:6" ht="15.75" thickBot="1">
      <c r="B39" s="17">
        <v>45320.578946759262</v>
      </c>
      <c r="C39" s="18" t="s">
        <v>5</v>
      </c>
      <c r="D39" s="18" t="s">
        <v>9</v>
      </c>
      <c r="E39" s="18">
        <v>230</v>
      </c>
      <c r="F39" s="18">
        <v>37</v>
      </c>
    </row>
    <row r="40" spans="2:6" ht="15.75" thickBot="1">
      <c r="B40" s="17">
        <v>45330.105266203704</v>
      </c>
      <c r="C40" s="18" t="s">
        <v>5</v>
      </c>
      <c r="D40" s="18" t="s">
        <v>6</v>
      </c>
      <c r="E40" s="18">
        <v>281</v>
      </c>
      <c r="F40" s="18">
        <v>50</v>
      </c>
    </row>
    <row r="41" spans="2:6" ht="15.75" thickBot="1">
      <c r="B41" s="17">
        <v>45339.631574074076</v>
      </c>
      <c r="C41" s="18" t="s">
        <v>5</v>
      </c>
      <c r="D41" s="18" t="s">
        <v>8</v>
      </c>
      <c r="E41" s="18">
        <v>334</v>
      </c>
      <c r="F41" s="18">
        <v>52</v>
      </c>
    </row>
    <row r="42" spans="2:6" ht="15.75" thickBot="1">
      <c r="B42" s="17">
        <v>45349.157893518517</v>
      </c>
      <c r="C42" s="18" t="s">
        <v>7</v>
      </c>
      <c r="D42" s="18" t="s">
        <v>9</v>
      </c>
      <c r="E42" s="18">
        <v>417</v>
      </c>
      <c r="F42" s="18">
        <v>29</v>
      </c>
    </row>
    <row r="43" spans="2:6" ht="15.75" thickBot="1">
      <c r="B43" s="17">
        <v>45358.684212962966</v>
      </c>
      <c r="C43" s="18" t="s">
        <v>5</v>
      </c>
      <c r="D43" s="18" t="s">
        <v>9</v>
      </c>
      <c r="E43" s="18">
        <v>441</v>
      </c>
      <c r="F43" s="18">
        <v>44</v>
      </c>
    </row>
    <row r="44" spans="2:6" ht="15.75" thickBot="1">
      <c r="B44" s="17">
        <v>45368.210520833331</v>
      </c>
      <c r="C44" s="18" t="s">
        <v>7</v>
      </c>
      <c r="D44" s="18" t="s">
        <v>6</v>
      </c>
      <c r="E44" s="18">
        <v>76</v>
      </c>
      <c r="F44" s="18">
        <v>63</v>
      </c>
    </row>
    <row r="45" spans="2:6" ht="15.75" thickBot="1">
      <c r="B45" s="17">
        <v>45377.736840277779</v>
      </c>
      <c r="C45" s="18" t="s">
        <v>5</v>
      </c>
      <c r="D45" s="18" t="s">
        <v>8</v>
      </c>
      <c r="E45" s="18">
        <v>441</v>
      </c>
      <c r="F45" s="18">
        <v>79</v>
      </c>
    </row>
    <row r="46" spans="2:6" ht="15.75" thickBot="1">
      <c r="B46" s="17">
        <v>45387.263159722221</v>
      </c>
      <c r="C46" s="18" t="s">
        <v>7</v>
      </c>
      <c r="D46" s="18" t="s">
        <v>6</v>
      </c>
      <c r="E46" s="18">
        <v>205</v>
      </c>
      <c r="F46" s="18">
        <v>23</v>
      </c>
    </row>
    <row r="47" spans="2:6" ht="15.75" thickBot="1">
      <c r="B47" s="17">
        <v>45396.789479166669</v>
      </c>
      <c r="C47" s="18" t="s">
        <v>5</v>
      </c>
      <c r="D47" s="18" t="s">
        <v>8</v>
      </c>
      <c r="E47" s="18">
        <v>483</v>
      </c>
      <c r="F47" s="18">
        <v>97</v>
      </c>
    </row>
    <row r="48" spans="2:6" ht="15.75" thickBot="1">
      <c r="B48" s="17">
        <v>45406.315787037034</v>
      </c>
      <c r="C48" s="18" t="s">
        <v>10</v>
      </c>
      <c r="D48" s="18" t="s">
        <v>6</v>
      </c>
      <c r="E48" s="18">
        <v>467</v>
      </c>
      <c r="F48" s="18">
        <v>97</v>
      </c>
    </row>
    <row r="49" spans="1:8" ht="15.75" thickBot="1">
      <c r="B49" s="17">
        <v>45415.842106481483</v>
      </c>
      <c r="C49" s="18" t="s">
        <v>5</v>
      </c>
      <c r="D49" s="18" t="s">
        <v>6</v>
      </c>
      <c r="E49" s="18">
        <v>380</v>
      </c>
      <c r="F49" s="18">
        <v>92</v>
      </c>
    </row>
    <row r="50" spans="1:8" ht="15.75" thickBot="1">
      <c r="B50" s="17">
        <v>45425.368425925924</v>
      </c>
      <c r="C50" s="18" t="s">
        <v>7</v>
      </c>
      <c r="D50" s="18" t="s">
        <v>8</v>
      </c>
      <c r="E50" s="18">
        <v>497</v>
      </c>
      <c r="F50" s="18">
        <v>71</v>
      </c>
    </row>
    <row r="51" spans="1:8" ht="15.75" thickBot="1">
      <c r="B51" s="17">
        <v>45434.894733796296</v>
      </c>
      <c r="C51" s="18" t="s">
        <v>7</v>
      </c>
      <c r="D51" s="18" t="s">
        <v>6</v>
      </c>
      <c r="E51" s="18">
        <v>409</v>
      </c>
      <c r="F51" s="18">
        <v>81</v>
      </c>
    </row>
    <row r="52" spans="1:8" ht="15.75" thickBot="1">
      <c r="B52" s="17">
        <v>45444.421053240738</v>
      </c>
      <c r="C52" s="18" t="s">
        <v>5</v>
      </c>
      <c r="D52" s="18" t="s">
        <v>8</v>
      </c>
      <c r="E52" s="18">
        <v>53</v>
      </c>
      <c r="F52" s="18">
        <v>45</v>
      </c>
    </row>
    <row r="53" spans="1:8" ht="15.75" thickBot="1">
      <c r="B53" s="17">
        <v>45453.947372685187</v>
      </c>
      <c r="C53" s="18" t="s">
        <v>5</v>
      </c>
      <c r="D53" s="18" t="s">
        <v>9</v>
      </c>
      <c r="E53" s="18">
        <v>398</v>
      </c>
      <c r="F53" s="18">
        <v>33</v>
      </c>
    </row>
    <row r="54" spans="1:8" ht="15.75" thickBot="1">
      <c r="B54" s="17">
        <v>45463.473680555559</v>
      </c>
      <c r="C54" s="18" t="s">
        <v>11</v>
      </c>
      <c r="D54" s="18" t="s">
        <v>8</v>
      </c>
      <c r="E54" s="18">
        <v>347</v>
      </c>
      <c r="F54" s="18">
        <v>35</v>
      </c>
    </row>
    <row r="55" spans="1:8" ht="15.75" thickBot="1">
      <c r="B55" s="17">
        <v>45473</v>
      </c>
      <c r="C55" s="18" t="s">
        <v>7</v>
      </c>
      <c r="D55" s="18" t="s">
        <v>9</v>
      </c>
      <c r="E55" s="18">
        <v>319</v>
      </c>
      <c r="F55" s="18">
        <v>45</v>
      </c>
    </row>
    <row r="58" spans="1:8" ht="18">
      <c r="A58" s="36" t="s">
        <v>18</v>
      </c>
    </row>
    <row r="59" spans="1:8" ht="15" thickBot="1"/>
    <row r="60" spans="1:8" ht="15.75" thickBot="1">
      <c r="B60" s="1" t="s">
        <v>0</v>
      </c>
      <c r="C60" s="2" t="s">
        <v>1</v>
      </c>
      <c r="D60" s="2" t="s">
        <v>2</v>
      </c>
      <c r="E60" s="2" t="s">
        <v>3</v>
      </c>
      <c r="F60" s="2" t="s">
        <v>4</v>
      </c>
    </row>
    <row r="61" spans="1:8" ht="58.5" thickBot="1">
      <c r="B61" s="4">
        <v>45292</v>
      </c>
      <c r="C61" s="3" t="s">
        <v>5</v>
      </c>
      <c r="D61" s="3" t="s">
        <v>6</v>
      </c>
      <c r="E61" s="5">
        <v>497</v>
      </c>
      <c r="F61" s="5">
        <v>93</v>
      </c>
      <c r="H61" s="20" t="s">
        <v>27</v>
      </c>
    </row>
    <row r="62" spans="1:8" ht="15.75" thickBot="1">
      <c r="B62" s="4">
        <v>45301.526319444441</v>
      </c>
      <c r="C62" s="3" t="s">
        <v>7</v>
      </c>
      <c r="D62" s="3" t="s">
        <v>8</v>
      </c>
      <c r="E62" s="5">
        <v>483</v>
      </c>
      <c r="F62" s="5">
        <v>56</v>
      </c>
    </row>
    <row r="63" spans="1:8" ht="15.75" thickBot="1">
      <c r="B63" s="4">
        <v>45311.052627314813</v>
      </c>
      <c r="C63" s="3" t="s">
        <v>7</v>
      </c>
      <c r="D63" s="3" t="s">
        <v>6</v>
      </c>
      <c r="E63" s="5">
        <v>467</v>
      </c>
      <c r="F63" s="5">
        <v>76</v>
      </c>
    </row>
    <row r="64" spans="1:8" ht="15.75" hidden="1" thickBot="1">
      <c r="B64" s="4">
        <v>45320.578946759262</v>
      </c>
      <c r="C64" s="3" t="s">
        <v>5</v>
      </c>
      <c r="D64" s="3" t="s">
        <v>9</v>
      </c>
      <c r="E64" s="5">
        <v>456</v>
      </c>
      <c r="F64" s="5">
        <v>37</v>
      </c>
    </row>
    <row r="65" spans="2:19" ht="15.75" thickBot="1">
      <c r="B65" s="4">
        <v>45330.105266203704</v>
      </c>
      <c r="C65" s="3" t="s">
        <v>5</v>
      </c>
      <c r="D65" s="3" t="s">
        <v>6</v>
      </c>
      <c r="E65" s="5">
        <v>441</v>
      </c>
      <c r="F65" s="5">
        <v>50</v>
      </c>
    </row>
    <row r="66" spans="2:19" ht="15.75" thickBot="1">
      <c r="B66" s="4">
        <v>45339.631574074076</v>
      </c>
      <c r="C66" s="3" t="s">
        <v>5</v>
      </c>
      <c r="D66" s="3" t="s">
        <v>8</v>
      </c>
      <c r="E66" s="5">
        <v>441</v>
      </c>
      <c r="F66" s="5">
        <v>52</v>
      </c>
      <c r="R66" s="19"/>
      <c r="S66" s="19"/>
    </row>
    <row r="67" spans="2:19" ht="15.75" hidden="1" thickBot="1">
      <c r="B67" s="4">
        <v>45349.157893518517</v>
      </c>
      <c r="C67" s="3" t="s">
        <v>7</v>
      </c>
      <c r="D67" s="3" t="s">
        <v>9</v>
      </c>
      <c r="E67" s="5">
        <v>417</v>
      </c>
      <c r="F67" s="5">
        <v>29</v>
      </c>
      <c r="R67" s="19"/>
      <c r="S67" s="19"/>
    </row>
    <row r="68" spans="2:19" ht="15.75" hidden="1" thickBot="1">
      <c r="B68" s="4">
        <v>45358.684212962966</v>
      </c>
      <c r="C68" s="3" t="s">
        <v>5</v>
      </c>
      <c r="D68" s="3" t="s">
        <v>9</v>
      </c>
      <c r="E68" s="5">
        <v>409</v>
      </c>
      <c r="F68" s="5">
        <v>44</v>
      </c>
      <c r="R68" s="19"/>
      <c r="S68" s="19"/>
    </row>
    <row r="69" spans="2:19" ht="15.75" thickBot="1">
      <c r="B69" s="4">
        <v>45368.210520833331</v>
      </c>
      <c r="C69" s="3" t="s">
        <v>7</v>
      </c>
      <c r="D69" s="3" t="s">
        <v>6</v>
      </c>
      <c r="E69" s="5">
        <v>398</v>
      </c>
      <c r="F69" s="5">
        <v>63</v>
      </c>
    </row>
    <row r="70" spans="2:19" ht="15.75" thickBot="1">
      <c r="B70" s="4">
        <v>45377.736840277779</v>
      </c>
      <c r="C70" s="3" t="s">
        <v>5</v>
      </c>
      <c r="D70" s="3" t="s">
        <v>8</v>
      </c>
      <c r="E70" s="5">
        <v>380</v>
      </c>
      <c r="F70" s="5">
        <v>79</v>
      </c>
    </row>
    <row r="71" spans="2:19" ht="15.75" thickBot="1">
      <c r="B71" s="4">
        <v>45387.263159722221</v>
      </c>
      <c r="C71" s="3" t="s">
        <v>7</v>
      </c>
      <c r="D71" s="3" t="s">
        <v>6</v>
      </c>
      <c r="E71" s="5">
        <v>348</v>
      </c>
      <c r="F71" s="5">
        <v>23</v>
      </c>
    </row>
    <row r="72" spans="2:19" ht="15.75" thickBot="1">
      <c r="B72" s="4">
        <v>45396.789479166669</v>
      </c>
      <c r="C72" s="3" t="s">
        <v>5</v>
      </c>
      <c r="D72" s="3" t="s">
        <v>8</v>
      </c>
      <c r="E72" s="5">
        <v>347</v>
      </c>
      <c r="F72" s="5">
        <v>97</v>
      </c>
    </row>
    <row r="73" spans="2:19" ht="15.75" thickBot="1">
      <c r="B73" s="4">
        <v>45406.315787037034</v>
      </c>
      <c r="C73" s="3" t="s">
        <v>10</v>
      </c>
      <c r="D73" s="3" t="s">
        <v>6</v>
      </c>
      <c r="E73" s="5">
        <v>334</v>
      </c>
      <c r="F73" s="5">
        <v>97</v>
      </c>
    </row>
    <row r="74" spans="2:19" ht="15.75" thickBot="1">
      <c r="B74" s="4">
        <v>45415.842106481483</v>
      </c>
      <c r="C74" s="3" t="s">
        <v>5</v>
      </c>
      <c r="D74" s="3" t="s">
        <v>6</v>
      </c>
      <c r="E74" s="5">
        <v>319</v>
      </c>
      <c r="F74" s="5">
        <v>92</v>
      </c>
    </row>
    <row r="75" spans="2:19" ht="15.75" thickBot="1">
      <c r="B75" s="4">
        <v>45425.368425925924</v>
      </c>
      <c r="C75" s="3" t="s">
        <v>7</v>
      </c>
      <c r="D75" s="3" t="s">
        <v>8</v>
      </c>
      <c r="E75" s="5">
        <v>281</v>
      </c>
      <c r="F75" s="5">
        <v>71</v>
      </c>
    </row>
    <row r="76" spans="2:19" ht="15.75" thickBot="1">
      <c r="B76" s="4">
        <v>45434.894733796296</v>
      </c>
      <c r="C76" s="3" t="s">
        <v>7</v>
      </c>
      <c r="D76" s="3" t="s">
        <v>6</v>
      </c>
      <c r="E76" s="5">
        <v>247</v>
      </c>
      <c r="F76" s="5">
        <v>81</v>
      </c>
    </row>
    <row r="77" spans="2:19" ht="15.75" thickBot="1">
      <c r="B77" s="4">
        <v>45444.421053240738</v>
      </c>
      <c r="C77" s="3" t="s">
        <v>5</v>
      </c>
      <c r="D77" s="3" t="s">
        <v>8</v>
      </c>
      <c r="E77" s="5">
        <v>230</v>
      </c>
      <c r="F77" s="5">
        <v>45</v>
      </c>
    </row>
    <row r="78" spans="2:19" ht="15.75" hidden="1" thickBot="1">
      <c r="B78" s="4">
        <v>45453.947372685187</v>
      </c>
      <c r="C78" s="3" t="s">
        <v>5</v>
      </c>
      <c r="D78" s="3" t="s">
        <v>9</v>
      </c>
      <c r="E78" s="5">
        <v>205</v>
      </c>
      <c r="F78" s="5">
        <v>33</v>
      </c>
    </row>
    <row r="79" spans="2:19" ht="15.75" thickBot="1">
      <c r="B79" s="4">
        <v>45463.473680555559</v>
      </c>
      <c r="C79" s="3" t="s">
        <v>11</v>
      </c>
      <c r="D79" s="3" t="s">
        <v>8</v>
      </c>
      <c r="E79" s="5">
        <v>76</v>
      </c>
      <c r="F79" s="5">
        <v>35</v>
      </c>
    </row>
    <row r="80" spans="2:19" ht="15.75" hidden="1" thickBot="1">
      <c r="B80" s="4">
        <v>45473</v>
      </c>
      <c r="C80" s="3" t="s">
        <v>7</v>
      </c>
      <c r="D80" s="3" t="s">
        <v>9</v>
      </c>
      <c r="E80" s="5">
        <v>53</v>
      </c>
      <c r="F80" s="5">
        <v>45</v>
      </c>
    </row>
    <row r="83" spans="1:8" ht="18">
      <c r="A83" s="36" t="s">
        <v>26</v>
      </c>
    </row>
    <row r="84" spans="1:8" ht="15" thickBot="1"/>
    <row r="85" spans="1:8" ht="15.75" thickBot="1">
      <c r="B85" s="1" t="s">
        <v>0</v>
      </c>
      <c r="C85" s="2" t="s">
        <v>1</v>
      </c>
      <c r="D85" s="23" t="s">
        <v>2</v>
      </c>
      <c r="E85" s="21" t="s">
        <v>3</v>
      </c>
      <c r="F85" s="2" t="s">
        <v>4</v>
      </c>
    </row>
    <row r="86" spans="1:8" ht="15.75" thickBot="1">
      <c r="B86" s="4">
        <v>45292</v>
      </c>
      <c r="C86" s="3" t="s">
        <v>5</v>
      </c>
      <c r="D86" s="7" t="s">
        <v>6</v>
      </c>
      <c r="E86" s="22">
        <v>456</v>
      </c>
      <c r="F86" s="5">
        <v>93</v>
      </c>
    </row>
    <row r="87" spans="1:8" ht="15.75" thickBot="1">
      <c r="B87" s="4">
        <v>45301.526319444441</v>
      </c>
      <c r="C87" s="3" t="s">
        <v>7</v>
      </c>
      <c r="D87" s="7" t="s">
        <v>8</v>
      </c>
      <c r="E87" s="22">
        <v>348</v>
      </c>
      <c r="F87" s="5">
        <v>56</v>
      </c>
      <c r="H87" s="25"/>
    </row>
    <row r="88" spans="1:8" ht="15.75" thickBot="1">
      <c r="B88" s="4">
        <v>45311.052627314813</v>
      </c>
      <c r="C88" s="3" t="s">
        <v>7</v>
      </c>
      <c r="D88" s="7" t="s">
        <v>6</v>
      </c>
      <c r="E88" s="22">
        <v>247</v>
      </c>
      <c r="F88" s="5">
        <v>76</v>
      </c>
      <c r="H88" s="26"/>
    </row>
    <row r="89" spans="1:8" ht="15.75" thickBot="1">
      <c r="B89" s="4">
        <v>45320.578946759262</v>
      </c>
      <c r="C89" s="3" t="s">
        <v>5</v>
      </c>
      <c r="D89" s="7" t="s">
        <v>9</v>
      </c>
      <c r="E89" s="22">
        <v>230</v>
      </c>
      <c r="F89" s="5">
        <v>37</v>
      </c>
      <c r="H89" s="26" t="s">
        <v>28</v>
      </c>
    </row>
    <row r="90" spans="1:8" ht="15.75" thickBot="1">
      <c r="B90" s="4">
        <v>45330.105266203704</v>
      </c>
      <c r="C90" s="3" t="s">
        <v>5</v>
      </c>
      <c r="D90" s="7" t="s">
        <v>6</v>
      </c>
      <c r="E90" s="22">
        <v>281</v>
      </c>
      <c r="F90" s="5">
        <v>50</v>
      </c>
    </row>
    <row r="91" spans="1:8" ht="15.75" thickBot="1">
      <c r="B91" s="4">
        <v>45339.631574074076</v>
      </c>
      <c r="C91" s="3" t="s">
        <v>5</v>
      </c>
      <c r="D91" s="7" t="s">
        <v>8</v>
      </c>
      <c r="E91" s="22">
        <v>334</v>
      </c>
      <c r="F91" s="5">
        <v>52</v>
      </c>
    </row>
    <row r="92" spans="1:8" ht="15.75" thickBot="1">
      <c r="B92" s="4">
        <v>45349.157893518517</v>
      </c>
      <c r="C92" s="3" t="s">
        <v>7</v>
      </c>
      <c r="D92" s="7" t="s">
        <v>9</v>
      </c>
      <c r="E92" s="22">
        <v>417</v>
      </c>
      <c r="F92" s="5">
        <v>29</v>
      </c>
    </row>
    <row r="93" spans="1:8" ht="15.75" thickBot="1">
      <c r="B93" s="4">
        <v>45358.684212962966</v>
      </c>
      <c r="C93" s="3" t="s">
        <v>5</v>
      </c>
      <c r="D93" s="7" t="s">
        <v>9</v>
      </c>
      <c r="E93" s="22">
        <v>441</v>
      </c>
      <c r="F93" s="5">
        <v>44</v>
      </c>
    </row>
    <row r="94" spans="1:8" ht="15.75" thickBot="1">
      <c r="B94" s="4">
        <v>45368.210520833331</v>
      </c>
      <c r="C94" s="3" t="s">
        <v>7</v>
      </c>
      <c r="D94" s="7" t="s">
        <v>6</v>
      </c>
      <c r="E94" s="22">
        <v>76</v>
      </c>
      <c r="F94" s="5">
        <v>63</v>
      </c>
    </row>
    <row r="95" spans="1:8" ht="15.75" thickBot="1">
      <c r="B95" s="4">
        <v>45377.736840277779</v>
      </c>
      <c r="C95" s="3" t="s">
        <v>5</v>
      </c>
      <c r="D95" s="7" t="s">
        <v>8</v>
      </c>
      <c r="E95" s="22">
        <v>441</v>
      </c>
      <c r="F95" s="5">
        <v>79</v>
      </c>
    </row>
    <row r="96" spans="1:8" ht="15.75" thickBot="1">
      <c r="B96" s="4">
        <v>45387.263159722221</v>
      </c>
      <c r="C96" s="3" t="s">
        <v>7</v>
      </c>
      <c r="D96" s="7" t="s">
        <v>6</v>
      </c>
      <c r="E96" s="22">
        <v>205</v>
      </c>
      <c r="F96" s="5">
        <v>23</v>
      </c>
    </row>
    <row r="97" spans="2:6" ht="15.75" thickBot="1">
      <c r="B97" s="4">
        <v>45396.789479166669</v>
      </c>
      <c r="C97" s="3" t="s">
        <v>5</v>
      </c>
      <c r="D97" s="7" t="s">
        <v>8</v>
      </c>
      <c r="E97" s="22">
        <v>483</v>
      </c>
      <c r="F97" s="5">
        <v>97</v>
      </c>
    </row>
    <row r="98" spans="2:6" ht="15.75" thickBot="1">
      <c r="B98" s="4">
        <v>45406.315787037034</v>
      </c>
      <c r="C98" s="3" t="s">
        <v>10</v>
      </c>
      <c r="D98" s="7" t="s">
        <v>6</v>
      </c>
      <c r="E98" s="22">
        <v>467</v>
      </c>
      <c r="F98" s="5">
        <v>97</v>
      </c>
    </row>
    <row r="99" spans="2:6" ht="15.75" thickBot="1">
      <c r="B99" s="4">
        <v>45415.842106481483</v>
      </c>
      <c r="C99" s="3" t="s">
        <v>5</v>
      </c>
      <c r="D99" s="7" t="s">
        <v>6</v>
      </c>
      <c r="E99" s="22">
        <v>380</v>
      </c>
      <c r="F99" s="5">
        <v>92</v>
      </c>
    </row>
    <row r="100" spans="2:6" ht="15.75" thickBot="1">
      <c r="B100" s="4">
        <v>45425.368425925924</v>
      </c>
      <c r="C100" s="3" t="s">
        <v>7</v>
      </c>
      <c r="D100" s="7" t="s">
        <v>8</v>
      </c>
      <c r="E100" s="22">
        <v>497</v>
      </c>
      <c r="F100" s="5">
        <v>71</v>
      </c>
    </row>
    <row r="101" spans="2:6" ht="15.75" thickBot="1">
      <c r="B101" s="4">
        <v>45434.894733796296</v>
      </c>
      <c r="C101" s="3" t="s">
        <v>7</v>
      </c>
      <c r="D101" s="7" t="s">
        <v>6</v>
      </c>
      <c r="E101" s="22">
        <v>409</v>
      </c>
      <c r="F101" s="5">
        <v>81</v>
      </c>
    </row>
    <row r="102" spans="2:6" ht="15.75" thickBot="1">
      <c r="B102" s="4">
        <v>45444.421053240738</v>
      </c>
      <c r="C102" s="3" t="s">
        <v>5</v>
      </c>
      <c r="D102" s="7" t="s">
        <v>8</v>
      </c>
      <c r="E102" s="22">
        <v>53</v>
      </c>
      <c r="F102" s="5">
        <v>45</v>
      </c>
    </row>
    <row r="103" spans="2:6" ht="15.75" thickBot="1">
      <c r="B103" s="4">
        <v>45453.947372685187</v>
      </c>
      <c r="C103" s="3" t="s">
        <v>5</v>
      </c>
      <c r="D103" s="7" t="s">
        <v>9</v>
      </c>
      <c r="E103" s="22">
        <v>398</v>
      </c>
      <c r="F103" s="5">
        <v>33</v>
      </c>
    </row>
    <row r="104" spans="2:6" ht="15.75" thickBot="1">
      <c r="B104" s="4">
        <v>45463.473680555559</v>
      </c>
      <c r="C104" s="3" t="s">
        <v>11</v>
      </c>
      <c r="D104" s="7" t="s">
        <v>8</v>
      </c>
      <c r="E104" s="22">
        <v>347</v>
      </c>
      <c r="F104" s="5">
        <v>35</v>
      </c>
    </row>
    <row r="105" spans="2:6" ht="15.75" thickBot="1">
      <c r="B105" s="4">
        <v>45473</v>
      </c>
      <c r="C105" s="3" t="s">
        <v>7</v>
      </c>
      <c r="D105" s="24" t="s">
        <v>9</v>
      </c>
      <c r="E105" s="22">
        <v>319</v>
      </c>
      <c r="F105" s="5">
        <v>45</v>
      </c>
    </row>
  </sheetData>
  <autoFilter ref="D60:D80">
    <filterColumn colId="0">
      <filters>
        <filter val="Mangoes"/>
        <filter val="Oranges"/>
      </filters>
    </filterColumn>
  </autoFilter>
  <sortState ref="E61:E80">
    <sortCondition descending="1" ref="E60:E80"/>
  </sortState>
  <conditionalFormatting sqref="E35:E55">
    <cfRule type="cellIs" dxfId="21" priority="1" operator="greaterThan">
      <formula>400</formula>
    </cfRule>
  </conditionalFormatting>
  <pageMargins left="0.7" right="0.7" top="0.75" bottom="0.75" header="0.3" footer="0.3"/>
  <pageSetup orientation="portrait" r:id="rId2"/>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topLeftCell="A4" zoomScale="80" zoomScaleNormal="80" workbookViewId="0">
      <selection activeCell="R42" sqref="R42"/>
    </sheetView>
  </sheetViews>
  <sheetFormatPr defaultRowHeight="14.25"/>
  <cols>
    <col min="1" max="1" width="18.625" customWidth="1"/>
    <col min="9" max="9" width="12.5" bestFit="1" customWidth="1"/>
    <col min="10" max="10" width="11.5" bestFit="1" customWidth="1"/>
  </cols>
  <sheetData>
    <row r="1" spans="1:8" ht="23.25">
      <c r="A1" s="34" t="s">
        <v>19</v>
      </c>
    </row>
    <row r="2" spans="1:8" ht="15" thickBot="1"/>
    <row r="3" spans="1:8" ht="15.75" thickBot="1">
      <c r="A3" s="1" t="s">
        <v>0</v>
      </c>
      <c r="B3" s="2" t="s">
        <v>1</v>
      </c>
      <c r="C3" s="2" t="s">
        <v>2</v>
      </c>
      <c r="D3" s="2" t="s">
        <v>3</v>
      </c>
      <c r="E3" s="2" t="s">
        <v>4</v>
      </c>
      <c r="G3" s="12" t="s">
        <v>13</v>
      </c>
      <c r="H3" t="s">
        <v>16</v>
      </c>
    </row>
    <row r="4" spans="1:8" ht="15.75" thickBot="1">
      <c r="A4" s="4">
        <v>45292</v>
      </c>
      <c r="B4" s="3" t="s">
        <v>5</v>
      </c>
      <c r="C4" s="3" t="s">
        <v>6</v>
      </c>
      <c r="D4" s="5">
        <v>456</v>
      </c>
      <c r="E4" s="5">
        <v>93</v>
      </c>
      <c r="G4" s="13" t="s">
        <v>23</v>
      </c>
      <c r="H4">
        <v>1281</v>
      </c>
    </row>
    <row r="5" spans="1:8" ht="15.75" thickBot="1">
      <c r="A5" s="4">
        <v>45301.526319444441</v>
      </c>
      <c r="B5" s="3" t="s">
        <v>7</v>
      </c>
      <c r="C5" s="3" t="s">
        <v>8</v>
      </c>
      <c r="D5" s="5">
        <v>348</v>
      </c>
      <c r="E5" s="5">
        <v>56</v>
      </c>
      <c r="G5" s="13" t="s">
        <v>24</v>
      </c>
      <c r="H5">
        <v>1032</v>
      </c>
    </row>
    <row r="6" spans="1:8" ht="15.75" thickBot="1">
      <c r="A6" s="4">
        <v>45311.052627314813</v>
      </c>
      <c r="B6" s="3" t="s">
        <v>7</v>
      </c>
      <c r="C6" s="3" t="s">
        <v>6</v>
      </c>
      <c r="D6" s="5">
        <v>247</v>
      </c>
      <c r="E6" s="5">
        <v>76</v>
      </c>
      <c r="G6" s="13" t="s">
        <v>21</v>
      </c>
      <c r="H6">
        <v>958</v>
      </c>
    </row>
    <row r="7" spans="1:8" ht="15.75" thickBot="1">
      <c r="A7" s="4">
        <v>45320.578946759262</v>
      </c>
      <c r="B7" s="3" t="s">
        <v>5</v>
      </c>
      <c r="C7" s="3" t="s">
        <v>9</v>
      </c>
      <c r="D7" s="5">
        <v>230</v>
      </c>
      <c r="E7" s="5">
        <v>37</v>
      </c>
      <c r="G7" s="13" t="s">
        <v>22</v>
      </c>
      <c r="H7">
        <v>1155</v>
      </c>
    </row>
    <row r="8" spans="1:8" ht="15.75" thickBot="1">
      <c r="A8" s="4">
        <v>45330.105266203704</v>
      </c>
      <c r="B8" s="3" t="s">
        <v>5</v>
      </c>
      <c r="C8" s="3" t="s">
        <v>6</v>
      </c>
      <c r="D8" s="5">
        <v>281</v>
      </c>
      <c r="E8" s="5">
        <v>50</v>
      </c>
      <c r="G8" s="13" t="s">
        <v>25</v>
      </c>
      <c r="H8">
        <v>1286</v>
      </c>
    </row>
    <row r="9" spans="1:8" ht="15.75" thickBot="1">
      <c r="A9" s="4">
        <v>45339.631574074076</v>
      </c>
      <c r="B9" s="3" t="s">
        <v>5</v>
      </c>
      <c r="C9" s="3" t="s">
        <v>8</v>
      </c>
      <c r="D9" s="5">
        <v>334</v>
      </c>
      <c r="E9" s="5">
        <v>52</v>
      </c>
      <c r="G9" s="13" t="s">
        <v>20</v>
      </c>
      <c r="H9">
        <v>1117</v>
      </c>
    </row>
    <row r="10" spans="1:8" ht="15.75" thickBot="1">
      <c r="A10" s="4">
        <v>45349.157893518517</v>
      </c>
      <c r="B10" s="3" t="s">
        <v>7</v>
      </c>
      <c r="C10" s="3" t="s">
        <v>9</v>
      </c>
      <c r="D10" s="5">
        <v>417</v>
      </c>
      <c r="E10" s="5">
        <v>29</v>
      </c>
      <c r="G10" s="13" t="s">
        <v>12</v>
      </c>
      <c r="H10">
        <v>6829</v>
      </c>
    </row>
    <row r="11" spans="1:8" ht="15.75" thickBot="1">
      <c r="A11" s="4">
        <v>45358.684212962966</v>
      </c>
      <c r="B11" s="3" t="s">
        <v>5</v>
      </c>
      <c r="C11" s="3" t="s">
        <v>9</v>
      </c>
      <c r="D11" s="5">
        <v>441</v>
      </c>
      <c r="E11" s="5">
        <v>44</v>
      </c>
    </row>
    <row r="12" spans="1:8" ht="15.75" thickBot="1">
      <c r="A12" s="4">
        <v>45368.210520833331</v>
      </c>
      <c r="B12" s="3" t="s">
        <v>7</v>
      </c>
      <c r="C12" s="3" t="s">
        <v>6</v>
      </c>
      <c r="D12" s="5">
        <v>76</v>
      </c>
      <c r="E12" s="5">
        <v>63</v>
      </c>
    </row>
    <row r="13" spans="1:8" ht="15.75" thickBot="1">
      <c r="A13" s="4">
        <v>45377.736840277779</v>
      </c>
      <c r="B13" s="3" t="s">
        <v>5</v>
      </c>
      <c r="C13" s="3" t="s">
        <v>8</v>
      </c>
      <c r="D13" s="5">
        <v>441</v>
      </c>
      <c r="E13" s="5">
        <v>79</v>
      </c>
    </row>
    <row r="14" spans="1:8" ht="15.75" thickBot="1">
      <c r="A14" s="4">
        <v>45387.263159722221</v>
      </c>
      <c r="B14" s="3" t="s">
        <v>7</v>
      </c>
      <c r="C14" s="3" t="s">
        <v>6</v>
      </c>
      <c r="D14" s="5">
        <v>205</v>
      </c>
      <c r="E14" s="5">
        <v>23</v>
      </c>
    </row>
    <row r="15" spans="1:8" ht="15.75" thickBot="1">
      <c r="A15" s="4">
        <v>45396.789479166669</v>
      </c>
      <c r="B15" s="3" t="s">
        <v>5</v>
      </c>
      <c r="C15" s="3" t="s">
        <v>8</v>
      </c>
      <c r="D15" s="5">
        <v>483</v>
      </c>
      <c r="E15" s="5">
        <v>97</v>
      </c>
    </row>
    <row r="16" spans="1:8" ht="15.75" thickBot="1">
      <c r="A16" s="4">
        <v>45406.315787037034</v>
      </c>
      <c r="B16" s="3" t="s">
        <v>10</v>
      </c>
      <c r="C16" s="3" t="s">
        <v>6</v>
      </c>
      <c r="D16" s="5">
        <v>467</v>
      </c>
      <c r="E16" s="5">
        <v>97</v>
      </c>
    </row>
    <row r="17" spans="1:5" ht="15.75" thickBot="1">
      <c r="A17" s="4">
        <v>45415.842106481483</v>
      </c>
      <c r="B17" s="3" t="s">
        <v>5</v>
      </c>
      <c r="C17" s="3" t="s">
        <v>6</v>
      </c>
      <c r="D17" s="5">
        <v>380</v>
      </c>
      <c r="E17" s="5">
        <v>92</v>
      </c>
    </row>
    <row r="18" spans="1:5" ht="15.75" thickBot="1">
      <c r="A18" s="4">
        <v>45425.368425925924</v>
      </c>
      <c r="B18" s="3" t="s">
        <v>7</v>
      </c>
      <c r="C18" s="3" t="s">
        <v>8</v>
      </c>
      <c r="D18" s="5">
        <v>497</v>
      </c>
      <c r="E18" s="5">
        <v>71</v>
      </c>
    </row>
    <row r="19" spans="1:5" ht="15.75" thickBot="1">
      <c r="A19" s="4">
        <v>45434.894733796296</v>
      </c>
      <c r="B19" s="3" t="s">
        <v>7</v>
      </c>
      <c r="C19" s="3" t="s">
        <v>6</v>
      </c>
      <c r="D19" s="5">
        <v>409</v>
      </c>
      <c r="E19" s="5">
        <v>81</v>
      </c>
    </row>
    <row r="20" spans="1:5" ht="15.75" thickBot="1">
      <c r="A20" s="4">
        <v>45444.421053240738</v>
      </c>
      <c r="B20" s="3" t="s">
        <v>5</v>
      </c>
      <c r="C20" s="3" t="s">
        <v>8</v>
      </c>
      <c r="D20" s="5">
        <v>53</v>
      </c>
      <c r="E20" s="5">
        <v>45</v>
      </c>
    </row>
    <row r="21" spans="1:5" ht="15.75" thickBot="1">
      <c r="A21" s="4">
        <v>45453.947372685187</v>
      </c>
      <c r="B21" s="3" t="s">
        <v>5</v>
      </c>
      <c r="C21" s="3" t="s">
        <v>9</v>
      </c>
      <c r="D21" s="5">
        <v>398</v>
      </c>
      <c r="E21" s="5">
        <v>33</v>
      </c>
    </row>
    <row r="22" spans="1:5" ht="15.75" thickBot="1">
      <c r="A22" s="4">
        <v>45463.473680555559</v>
      </c>
      <c r="B22" s="3" t="s">
        <v>11</v>
      </c>
      <c r="C22" s="3" t="s">
        <v>8</v>
      </c>
      <c r="D22" s="5">
        <v>347</v>
      </c>
      <c r="E22" s="5">
        <v>35</v>
      </c>
    </row>
    <row r="23" spans="1:5" ht="15.75" thickBot="1">
      <c r="A23" s="4">
        <v>45473</v>
      </c>
      <c r="B23" s="3" t="s">
        <v>7</v>
      </c>
      <c r="C23" s="3" t="s">
        <v>9</v>
      </c>
      <c r="D23" s="5">
        <v>319</v>
      </c>
      <c r="E23" s="5">
        <v>45</v>
      </c>
    </row>
    <row r="29" spans="1:5" ht="20.25">
      <c r="A29" s="27" t="s">
        <v>35</v>
      </c>
    </row>
    <row r="32" spans="1:5" ht="15.75" thickBot="1">
      <c r="A32" s="23" t="s">
        <v>2</v>
      </c>
    </row>
    <row r="33" spans="1:9" ht="15.75" thickBot="1">
      <c r="A33" s="7" t="s">
        <v>6</v>
      </c>
    </row>
    <row r="34" spans="1:9" ht="15.75" thickBot="1">
      <c r="A34" s="7" t="s">
        <v>8</v>
      </c>
      <c r="I34" t="s">
        <v>36</v>
      </c>
    </row>
    <row r="35" spans="1:9" ht="15.75" thickBot="1">
      <c r="A35" s="7" t="s">
        <v>6</v>
      </c>
    </row>
    <row r="36" spans="1:9" ht="15.75" thickBot="1">
      <c r="A36" s="7" t="s">
        <v>9</v>
      </c>
    </row>
    <row r="37" spans="1:9" ht="15.75" thickBot="1">
      <c r="A37" s="7" t="s">
        <v>6</v>
      </c>
    </row>
    <row r="38" spans="1:9" ht="15.75" thickBot="1">
      <c r="A38" s="7" t="s">
        <v>8</v>
      </c>
    </row>
    <row r="39" spans="1:9" ht="15.75" thickBot="1">
      <c r="A39" s="7" t="s">
        <v>9</v>
      </c>
    </row>
    <row r="40" spans="1:9" ht="15.75" thickBot="1">
      <c r="A40" s="7" t="s">
        <v>9</v>
      </c>
    </row>
    <row r="41" spans="1:9" ht="15.75" thickBot="1">
      <c r="A41" s="7" t="s">
        <v>6</v>
      </c>
    </row>
    <row r="42" spans="1:9" ht="15.75" thickBot="1">
      <c r="A42" s="7" t="s">
        <v>8</v>
      </c>
    </row>
    <row r="43" spans="1:9" ht="15.75" thickBot="1">
      <c r="A43" s="7" t="s">
        <v>6</v>
      </c>
    </row>
    <row r="44" spans="1:9" ht="15.75" thickBot="1">
      <c r="A44" s="7" t="s">
        <v>8</v>
      </c>
    </row>
    <row r="45" spans="1:9" ht="15.75" thickBot="1">
      <c r="A45" s="7" t="s">
        <v>6</v>
      </c>
    </row>
    <row r="46" spans="1:9" ht="15.75" thickBot="1">
      <c r="A46" s="7" t="s">
        <v>6</v>
      </c>
    </row>
    <row r="47" spans="1:9" ht="15.75" thickBot="1">
      <c r="A47" s="7" t="s">
        <v>8</v>
      </c>
    </row>
    <row r="48" spans="1:9" ht="15.75" thickBot="1">
      <c r="A48" s="7" t="s">
        <v>6</v>
      </c>
    </row>
    <row r="49" spans="1:1" ht="15.75" thickBot="1">
      <c r="A49" s="7" t="s">
        <v>8</v>
      </c>
    </row>
    <row r="50" spans="1:1" ht="15.75" thickBot="1">
      <c r="A50" s="7" t="s">
        <v>9</v>
      </c>
    </row>
    <row r="51" spans="1:1" ht="15.75" thickBot="1">
      <c r="A51" s="7" t="s">
        <v>8</v>
      </c>
    </row>
    <row r="52" spans="1:1" ht="15">
      <c r="A52" s="24" t="s">
        <v>9</v>
      </c>
    </row>
  </sheetData>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
  <sheetViews>
    <sheetView workbookViewId="0">
      <selection activeCell="J7" sqref="J7"/>
    </sheetView>
  </sheetViews>
  <sheetFormatPr defaultRowHeight="14.25"/>
  <cols>
    <col min="1" max="1" width="19.5" customWidth="1"/>
    <col min="3" max="3" width="9.5" customWidth="1"/>
    <col min="5" max="5" width="10.25" customWidth="1"/>
    <col min="8" max="8" width="12.5" bestFit="1" customWidth="1"/>
    <col min="9" max="9" width="11.5" bestFit="1" customWidth="1"/>
    <col min="10" max="10" width="14.25" bestFit="1" customWidth="1"/>
    <col min="11" max="11" width="12.5" bestFit="1" customWidth="1"/>
    <col min="12" max="12" width="11.5" bestFit="1" customWidth="1"/>
    <col min="13" max="13" width="14.25" bestFit="1" customWidth="1"/>
  </cols>
  <sheetData>
    <row r="1" spans="1:8" ht="20.25">
      <c r="A1" s="27" t="s">
        <v>29</v>
      </c>
    </row>
    <row r="3" spans="1:8" ht="15.75" thickBot="1">
      <c r="A3" s="28" t="s">
        <v>0</v>
      </c>
      <c r="B3" s="29" t="s">
        <v>1</v>
      </c>
      <c r="C3" s="29" t="s">
        <v>2</v>
      </c>
      <c r="D3" s="29" t="s">
        <v>3</v>
      </c>
      <c r="E3" s="29" t="s">
        <v>4</v>
      </c>
    </row>
    <row r="4" spans="1:8" ht="15.75" thickBot="1">
      <c r="A4" s="4">
        <v>45292</v>
      </c>
      <c r="B4" s="3" t="s">
        <v>5</v>
      </c>
      <c r="C4" s="3" t="s">
        <v>6</v>
      </c>
      <c r="D4" s="5">
        <v>456</v>
      </c>
      <c r="E4" s="5">
        <v>93</v>
      </c>
      <c r="G4" t="s">
        <v>30</v>
      </c>
    </row>
    <row r="5" spans="1:8" ht="15.75" thickBot="1">
      <c r="A5" s="4">
        <v>45301.526319444441</v>
      </c>
      <c r="B5" s="3" t="s">
        <v>7</v>
      </c>
      <c r="C5" s="3" t="s">
        <v>8</v>
      </c>
      <c r="D5" s="5">
        <v>348</v>
      </c>
      <c r="E5" s="5">
        <v>56</v>
      </c>
    </row>
    <row r="6" spans="1:8" ht="15.75" thickBot="1">
      <c r="A6" s="4">
        <v>45311.052627314813</v>
      </c>
      <c r="B6" s="3" t="s">
        <v>7</v>
      </c>
      <c r="C6" s="3" t="s">
        <v>6</v>
      </c>
      <c r="D6" s="5">
        <v>247</v>
      </c>
      <c r="E6" s="5">
        <v>76</v>
      </c>
      <c r="G6" s="12" t="s">
        <v>13</v>
      </c>
      <c r="H6" t="s">
        <v>16</v>
      </c>
    </row>
    <row r="7" spans="1:8" ht="15.75" thickBot="1">
      <c r="A7" s="4">
        <v>45320.578946759262</v>
      </c>
      <c r="B7" s="3" t="s">
        <v>5</v>
      </c>
      <c r="C7" s="3" t="s">
        <v>9</v>
      </c>
      <c r="D7" s="5">
        <v>230</v>
      </c>
      <c r="E7" s="5">
        <v>37</v>
      </c>
      <c r="G7" s="13" t="s">
        <v>10</v>
      </c>
      <c r="H7">
        <v>467</v>
      </c>
    </row>
    <row r="8" spans="1:8" ht="15.75" thickBot="1">
      <c r="A8" s="4">
        <v>45330.105266203704</v>
      </c>
      <c r="B8" s="3" t="s">
        <v>5</v>
      </c>
      <c r="C8" s="3" t="s">
        <v>6</v>
      </c>
      <c r="D8" s="5">
        <v>281</v>
      </c>
      <c r="E8" s="5">
        <v>50</v>
      </c>
      <c r="G8" s="13" t="s">
        <v>11</v>
      </c>
      <c r="H8">
        <v>347</v>
      </c>
    </row>
    <row r="9" spans="1:8" ht="15.75" thickBot="1">
      <c r="A9" s="4">
        <v>45339.631574074076</v>
      </c>
      <c r="B9" s="3" t="s">
        <v>5</v>
      </c>
      <c r="C9" s="3" t="s">
        <v>8</v>
      </c>
      <c r="D9" s="5">
        <v>334</v>
      </c>
      <c r="E9" s="5">
        <v>52</v>
      </c>
      <c r="G9" s="13" t="s">
        <v>7</v>
      </c>
      <c r="H9">
        <v>2518</v>
      </c>
    </row>
    <row r="10" spans="1:8" ht="15.75" thickBot="1">
      <c r="A10" s="4">
        <v>45349.157893518517</v>
      </c>
      <c r="B10" s="3" t="s">
        <v>7</v>
      </c>
      <c r="C10" s="3" t="s">
        <v>9</v>
      </c>
      <c r="D10" s="5">
        <v>417</v>
      </c>
      <c r="E10" s="5">
        <v>29</v>
      </c>
      <c r="G10" s="13" t="s">
        <v>5</v>
      </c>
      <c r="H10">
        <v>3497</v>
      </c>
    </row>
    <row r="11" spans="1:8" ht="15.75" thickBot="1">
      <c r="A11" s="4">
        <v>45358.684212962966</v>
      </c>
      <c r="B11" s="3" t="s">
        <v>5</v>
      </c>
      <c r="C11" s="3" t="s">
        <v>9</v>
      </c>
      <c r="D11" s="5">
        <v>441</v>
      </c>
      <c r="E11" s="5">
        <v>44</v>
      </c>
      <c r="G11" s="13" t="s">
        <v>12</v>
      </c>
      <c r="H11">
        <v>6829</v>
      </c>
    </row>
    <row r="12" spans="1:8" ht="15.75" thickBot="1">
      <c r="A12" s="4">
        <v>45368.210520833331</v>
      </c>
      <c r="B12" s="3" t="s">
        <v>7</v>
      </c>
      <c r="C12" s="3" t="s">
        <v>6</v>
      </c>
      <c r="D12" s="5">
        <v>76</v>
      </c>
      <c r="E12" s="5">
        <v>63</v>
      </c>
    </row>
    <row r="13" spans="1:8" ht="15.75" thickBot="1">
      <c r="A13" s="4">
        <v>45377.736840277779</v>
      </c>
      <c r="B13" s="3" t="s">
        <v>5</v>
      </c>
      <c r="C13" s="3" t="s">
        <v>8</v>
      </c>
      <c r="D13" s="5">
        <v>441</v>
      </c>
      <c r="E13" s="5">
        <v>79</v>
      </c>
    </row>
    <row r="14" spans="1:8" ht="15.75" thickBot="1">
      <c r="A14" s="4">
        <v>45387.263159722221</v>
      </c>
      <c r="B14" s="3" t="s">
        <v>7</v>
      </c>
      <c r="C14" s="3" t="s">
        <v>6</v>
      </c>
      <c r="D14" s="5">
        <v>205</v>
      </c>
      <c r="E14" s="5">
        <v>23</v>
      </c>
    </row>
    <row r="15" spans="1:8" ht="15.75" thickBot="1">
      <c r="A15" s="4">
        <v>45396.789479166669</v>
      </c>
      <c r="B15" s="3" t="s">
        <v>5</v>
      </c>
      <c r="C15" s="3" t="s">
        <v>8</v>
      </c>
      <c r="D15" s="5">
        <v>483</v>
      </c>
      <c r="E15" s="5">
        <v>97</v>
      </c>
    </row>
    <row r="16" spans="1:8" ht="15.75" thickBot="1">
      <c r="A16" s="4">
        <v>45406.315787037034</v>
      </c>
      <c r="B16" s="3" t="s">
        <v>10</v>
      </c>
      <c r="C16" s="3" t="s">
        <v>6</v>
      </c>
      <c r="D16" s="5">
        <v>467</v>
      </c>
      <c r="E16" s="5">
        <v>97</v>
      </c>
    </row>
    <row r="17" spans="1:5" ht="15.75" thickBot="1">
      <c r="A17" s="4">
        <v>45415.842106481483</v>
      </c>
      <c r="B17" s="3" t="s">
        <v>5</v>
      </c>
      <c r="C17" s="3" t="s">
        <v>6</v>
      </c>
      <c r="D17" s="5">
        <v>380</v>
      </c>
      <c r="E17" s="5">
        <v>92</v>
      </c>
    </row>
    <row r="18" spans="1:5" ht="15.75" thickBot="1">
      <c r="A18" s="4">
        <v>45425.368425925924</v>
      </c>
      <c r="B18" s="3" t="s">
        <v>7</v>
      </c>
      <c r="C18" s="3" t="s">
        <v>8</v>
      </c>
      <c r="D18" s="5">
        <v>497</v>
      </c>
      <c r="E18" s="5">
        <v>71</v>
      </c>
    </row>
    <row r="19" spans="1:5" ht="15.75" thickBot="1">
      <c r="A19" s="4">
        <v>45434.894733796296</v>
      </c>
      <c r="B19" s="3" t="s">
        <v>7</v>
      </c>
      <c r="C19" s="3" t="s">
        <v>6</v>
      </c>
      <c r="D19" s="5">
        <v>409</v>
      </c>
      <c r="E19" s="5">
        <v>81</v>
      </c>
    </row>
    <row r="20" spans="1:5" ht="15.75" thickBot="1">
      <c r="A20" s="4">
        <v>45444.421053240738</v>
      </c>
      <c r="B20" s="3" t="s">
        <v>5</v>
      </c>
      <c r="C20" s="3" t="s">
        <v>8</v>
      </c>
      <c r="D20" s="5">
        <v>53</v>
      </c>
      <c r="E20" s="5">
        <v>45</v>
      </c>
    </row>
    <row r="21" spans="1:5" ht="15.75" thickBot="1">
      <c r="A21" s="4">
        <v>45453.947372685187</v>
      </c>
      <c r="B21" s="3" t="s">
        <v>5</v>
      </c>
      <c r="C21" s="3" t="s">
        <v>9</v>
      </c>
      <c r="D21" s="5">
        <v>398</v>
      </c>
      <c r="E21" s="5">
        <v>33</v>
      </c>
    </row>
    <row r="22" spans="1:5" ht="15.75" thickBot="1">
      <c r="A22" s="4">
        <v>45463.473680555559</v>
      </c>
      <c r="B22" s="3" t="s">
        <v>11</v>
      </c>
      <c r="C22" s="3" t="s">
        <v>8</v>
      </c>
      <c r="D22" s="5">
        <v>347</v>
      </c>
      <c r="E22" s="5">
        <v>35</v>
      </c>
    </row>
    <row r="23" spans="1:5" ht="15">
      <c r="A23" s="30">
        <v>45473</v>
      </c>
      <c r="B23" s="11" t="s">
        <v>7</v>
      </c>
      <c r="C23" s="11" t="s">
        <v>9</v>
      </c>
      <c r="D23" s="31">
        <v>319</v>
      </c>
      <c r="E23" s="31">
        <v>45</v>
      </c>
    </row>
    <row r="27" spans="1:5" ht="23.25">
      <c r="A27" s="34"/>
    </row>
    <row r="30" spans="1:5" ht="15">
      <c r="A30" s="32"/>
      <c r="B30" s="32"/>
      <c r="C30" s="32"/>
      <c r="D30" s="32"/>
      <c r="E30" s="32"/>
    </row>
    <row r="31" spans="1:5" ht="15">
      <c r="A31" s="8"/>
      <c r="B31" s="9"/>
      <c r="C31" s="9"/>
      <c r="D31" s="10"/>
      <c r="E31" s="10"/>
    </row>
    <row r="32" spans="1:5" ht="15">
      <c r="A32" s="8"/>
      <c r="B32" s="9"/>
      <c r="C32" s="9"/>
      <c r="D32" s="10"/>
      <c r="E32" s="10"/>
    </row>
    <row r="33" spans="1:5" ht="15">
      <c r="A33" s="8"/>
      <c r="B33" s="9"/>
      <c r="C33" s="9"/>
      <c r="D33" s="10"/>
      <c r="E33" s="10"/>
    </row>
    <row r="34" spans="1:5" ht="15">
      <c r="A34" s="8"/>
      <c r="B34" s="9"/>
      <c r="C34" s="9"/>
      <c r="D34" s="10"/>
      <c r="E34" s="10"/>
    </row>
    <row r="35" spans="1:5" ht="15">
      <c r="A35" s="8"/>
      <c r="B35" s="9"/>
      <c r="C35" s="9"/>
      <c r="D35" s="10"/>
      <c r="E35" s="10"/>
    </row>
    <row r="36" spans="1:5" ht="15">
      <c r="A36" s="8"/>
      <c r="B36" s="9"/>
      <c r="C36" s="9"/>
      <c r="D36" s="10"/>
      <c r="E36" s="10"/>
    </row>
    <row r="37" spans="1:5" ht="15">
      <c r="A37" s="8"/>
      <c r="B37" s="9"/>
      <c r="C37" s="9"/>
      <c r="D37" s="10"/>
      <c r="E37" s="10"/>
    </row>
    <row r="38" spans="1:5" ht="15">
      <c r="A38" s="8"/>
      <c r="B38" s="9"/>
      <c r="C38" s="9"/>
      <c r="D38" s="10"/>
      <c r="E38" s="10"/>
    </row>
    <row r="39" spans="1:5" ht="15">
      <c r="A39" s="8"/>
      <c r="B39" s="9"/>
      <c r="C39" s="9"/>
      <c r="D39" s="10"/>
      <c r="E39" s="10"/>
    </row>
    <row r="40" spans="1:5" ht="15">
      <c r="A40" s="8"/>
      <c r="B40" s="9"/>
      <c r="C40" s="9"/>
      <c r="D40" s="10"/>
      <c r="E40" s="10"/>
    </row>
    <row r="41" spans="1:5" ht="15">
      <c r="A41" s="8"/>
      <c r="B41" s="9"/>
      <c r="C41" s="9"/>
      <c r="D41" s="10"/>
      <c r="E41" s="10"/>
    </row>
    <row r="42" spans="1:5" ht="15">
      <c r="A42" s="8"/>
      <c r="B42" s="9"/>
      <c r="C42" s="9"/>
      <c r="D42" s="10"/>
      <c r="E42" s="10"/>
    </row>
    <row r="43" spans="1:5" ht="15">
      <c r="A43" s="8"/>
      <c r="B43" s="9"/>
      <c r="C43" s="9"/>
      <c r="D43" s="10"/>
      <c r="E43" s="10"/>
    </row>
    <row r="44" spans="1:5" ht="15">
      <c r="A44" s="8"/>
      <c r="B44" s="9"/>
      <c r="C44" s="9"/>
      <c r="D44" s="10"/>
      <c r="E44" s="10"/>
    </row>
    <row r="45" spans="1:5" ht="15">
      <c r="A45" s="8"/>
      <c r="B45" s="9"/>
      <c r="C45" s="9"/>
      <c r="D45" s="10"/>
      <c r="E45" s="10"/>
    </row>
    <row r="46" spans="1:5" ht="15">
      <c r="A46" s="8"/>
      <c r="B46" s="9"/>
      <c r="C46" s="9"/>
      <c r="D46" s="10"/>
      <c r="E46" s="10"/>
    </row>
    <row r="47" spans="1:5" ht="15">
      <c r="A47" s="8"/>
      <c r="B47" s="9"/>
      <c r="C47" s="9"/>
      <c r="D47" s="10"/>
      <c r="E47" s="10"/>
    </row>
    <row r="48" spans="1:5" ht="15">
      <c r="A48" s="8"/>
      <c r="B48" s="9"/>
      <c r="C48" s="9"/>
      <c r="D48" s="10"/>
      <c r="E48" s="10"/>
    </row>
    <row r="49" spans="1:5" ht="15">
      <c r="A49" s="8"/>
      <c r="B49" s="9"/>
      <c r="C49" s="9"/>
      <c r="D49" s="10"/>
      <c r="E49" s="10"/>
    </row>
    <row r="50" spans="1:5" ht="15">
      <c r="A50" s="8"/>
      <c r="B50" s="9"/>
      <c r="C50" s="9"/>
      <c r="D50" s="10"/>
      <c r="E50" s="10"/>
    </row>
  </sheetData>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25"/>
  <sheetViews>
    <sheetView zoomScale="90" zoomScaleNormal="90" workbookViewId="0">
      <selection activeCell="G7" sqref="G7"/>
    </sheetView>
  </sheetViews>
  <sheetFormatPr defaultRowHeight="14.25"/>
  <cols>
    <col min="2" max="2" width="18.375" customWidth="1"/>
    <col min="9" max="9" width="12.5" bestFit="1" customWidth="1"/>
    <col min="10" max="10" width="15.875" customWidth="1"/>
    <col min="11" max="11" width="12.5" bestFit="1" customWidth="1"/>
    <col min="13" max="13" width="13.5" bestFit="1" customWidth="1"/>
  </cols>
  <sheetData>
    <row r="2" spans="2:10" ht="18">
      <c r="B2" s="33" t="s">
        <v>31</v>
      </c>
    </row>
    <row r="3" spans="2:10" ht="15" thickBot="1"/>
    <row r="4" spans="2:10" ht="15.75" thickBot="1">
      <c r="B4" s="1" t="s">
        <v>0</v>
      </c>
      <c r="C4" s="2" t="s">
        <v>1</v>
      </c>
      <c r="D4" s="2" t="s">
        <v>2</v>
      </c>
      <c r="E4" s="2" t="s">
        <v>3</v>
      </c>
      <c r="F4" s="2" t="s">
        <v>4</v>
      </c>
    </row>
    <row r="5" spans="2:10" ht="15.75" thickBot="1">
      <c r="B5" s="4">
        <v>45292</v>
      </c>
      <c r="C5" s="3" t="s">
        <v>5</v>
      </c>
      <c r="D5" s="3" t="s">
        <v>6</v>
      </c>
      <c r="E5" s="5">
        <v>456</v>
      </c>
      <c r="F5" s="5">
        <v>93</v>
      </c>
    </row>
    <row r="6" spans="2:10" ht="15.75" thickBot="1">
      <c r="B6" s="4">
        <v>45301.526319444441</v>
      </c>
      <c r="C6" s="3" t="s">
        <v>7</v>
      </c>
      <c r="D6" s="3" t="s">
        <v>8</v>
      </c>
      <c r="E6" s="5">
        <v>348</v>
      </c>
      <c r="F6" s="5">
        <v>56</v>
      </c>
    </row>
    <row r="7" spans="2:10" ht="15.75" thickBot="1">
      <c r="B7" s="4">
        <v>45311.052627314813</v>
      </c>
      <c r="C7" s="3" t="s">
        <v>7</v>
      </c>
      <c r="D7" s="3" t="s">
        <v>6</v>
      </c>
      <c r="E7" s="5">
        <v>247</v>
      </c>
      <c r="F7" s="5">
        <v>76</v>
      </c>
    </row>
    <row r="8" spans="2:10" ht="15.75" thickBot="1">
      <c r="B8" s="4">
        <v>45320.578946759262</v>
      </c>
      <c r="C8" s="3" t="s">
        <v>5</v>
      </c>
      <c r="D8" s="3" t="s">
        <v>9</v>
      </c>
      <c r="E8" s="5">
        <v>230</v>
      </c>
      <c r="F8" s="5">
        <v>37</v>
      </c>
      <c r="I8" s="12" t="s">
        <v>13</v>
      </c>
      <c r="J8" t="s">
        <v>32</v>
      </c>
    </row>
    <row r="9" spans="2:10" ht="15.75" thickBot="1">
      <c r="B9" s="4">
        <v>45330.105266203704</v>
      </c>
      <c r="C9" s="3" t="s">
        <v>5</v>
      </c>
      <c r="D9" s="3" t="s">
        <v>6</v>
      </c>
      <c r="E9" s="5">
        <v>281</v>
      </c>
      <c r="F9" s="5">
        <v>50</v>
      </c>
      <c r="I9" s="13" t="s">
        <v>23</v>
      </c>
      <c r="J9">
        <v>320.25</v>
      </c>
    </row>
    <row r="10" spans="2:10" ht="15.75" thickBot="1">
      <c r="B10" s="4">
        <v>45339.631574074076</v>
      </c>
      <c r="C10" s="3" t="s">
        <v>5</v>
      </c>
      <c r="D10" s="3" t="s">
        <v>8</v>
      </c>
      <c r="E10" s="5">
        <v>334</v>
      </c>
      <c r="F10" s="5">
        <v>52</v>
      </c>
      <c r="I10" s="13" t="s">
        <v>24</v>
      </c>
      <c r="J10">
        <v>344</v>
      </c>
    </row>
    <row r="11" spans="2:10" ht="15.75" thickBot="1">
      <c r="B11" s="4">
        <v>45349.157893518517</v>
      </c>
      <c r="C11" s="3" t="s">
        <v>7</v>
      </c>
      <c r="D11" s="3" t="s">
        <v>9</v>
      </c>
      <c r="E11" s="5">
        <v>417</v>
      </c>
      <c r="F11" s="5">
        <v>29</v>
      </c>
      <c r="I11" s="13" t="s">
        <v>21</v>
      </c>
      <c r="J11">
        <v>319.33333333333331</v>
      </c>
    </row>
    <row r="12" spans="2:10" ht="15.75" thickBot="1">
      <c r="B12" s="4">
        <v>45358.684212962966</v>
      </c>
      <c r="C12" s="3" t="s">
        <v>5</v>
      </c>
      <c r="D12" s="3" t="s">
        <v>9</v>
      </c>
      <c r="E12" s="5">
        <v>441</v>
      </c>
      <c r="F12" s="5">
        <v>44</v>
      </c>
      <c r="I12" s="13" t="s">
        <v>22</v>
      </c>
      <c r="J12">
        <v>385</v>
      </c>
    </row>
    <row r="13" spans="2:10" ht="15.75" thickBot="1">
      <c r="B13" s="4">
        <v>45368.210520833331</v>
      </c>
      <c r="C13" s="3" t="s">
        <v>7</v>
      </c>
      <c r="D13" s="3" t="s">
        <v>6</v>
      </c>
      <c r="E13" s="5">
        <v>76</v>
      </c>
      <c r="F13" s="5">
        <v>63</v>
      </c>
      <c r="I13" s="13" t="s">
        <v>25</v>
      </c>
      <c r="J13">
        <v>428.66666666666669</v>
      </c>
    </row>
    <row r="14" spans="2:10" ht="15.75" thickBot="1">
      <c r="B14" s="4">
        <v>45377.736840277779</v>
      </c>
      <c r="C14" s="3" t="s">
        <v>5</v>
      </c>
      <c r="D14" s="3" t="s">
        <v>8</v>
      </c>
      <c r="E14" s="5">
        <v>441</v>
      </c>
      <c r="F14" s="5">
        <v>79</v>
      </c>
      <c r="I14" s="13" t="s">
        <v>20</v>
      </c>
      <c r="J14">
        <v>279.25</v>
      </c>
    </row>
    <row r="15" spans="2:10" ht="15.75" thickBot="1">
      <c r="B15" s="4">
        <v>45387.263159722221</v>
      </c>
      <c r="C15" s="3" t="s">
        <v>7</v>
      </c>
      <c r="D15" s="3" t="s">
        <v>6</v>
      </c>
      <c r="E15" s="5">
        <v>205</v>
      </c>
      <c r="F15" s="5">
        <v>23</v>
      </c>
      <c r="I15" s="13" t="s">
        <v>12</v>
      </c>
      <c r="J15">
        <v>341.45</v>
      </c>
    </row>
    <row r="16" spans="2:10" ht="15.75" thickBot="1">
      <c r="B16" s="4">
        <v>45396.789479166669</v>
      </c>
      <c r="C16" s="3" t="s">
        <v>5</v>
      </c>
      <c r="D16" s="3" t="s">
        <v>8</v>
      </c>
      <c r="E16" s="5">
        <v>483</v>
      </c>
      <c r="F16" s="5">
        <v>97</v>
      </c>
    </row>
    <row r="17" spans="2:6" ht="15.75" thickBot="1">
      <c r="B17" s="4">
        <v>45406.315787037034</v>
      </c>
      <c r="C17" s="3" t="s">
        <v>10</v>
      </c>
      <c r="D17" s="3" t="s">
        <v>6</v>
      </c>
      <c r="E17" s="5">
        <v>467</v>
      </c>
      <c r="F17" s="5">
        <v>97</v>
      </c>
    </row>
    <row r="18" spans="2:6" ht="15.75" thickBot="1">
      <c r="B18" s="4">
        <v>45415.842106481483</v>
      </c>
      <c r="C18" s="3" t="s">
        <v>5</v>
      </c>
      <c r="D18" s="3" t="s">
        <v>6</v>
      </c>
      <c r="E18" s="5">
        <v>380</v>
      </c>
      <c r="F18" s="5">
        <v>92</v>
      </c>
    </row>
    <row r="19" spans="2:6" ht="15.75" thickBot="1">
      <c r="B19" s="4">
        <v>45425.368425925924</v>
      </c>
      <c r="C19" s="3" t="s">
        <v>7</v>
      </c>
      <c r="D19" s="3" t="s">
        <v>8</v>
      </c>
      <c r="E19" s="5">
        <v>497</v>
      </c>
      <c r="F19" s="5">
        <v>71</v>
      </c>
    </row>
    <row r="20" spans="2:6" ht="15.75" thickBot="1">
      <c r="B20" s="4">
        <v>45434.894733796296</v>
      </c>
      <c r="C20" s="3" t="s">
        <v>7</v>
      </c>
      <c r="D20" s="3" t="s">
        <v>6</v>
      </c>
      <c r="E20" s="5">
        <v>409</v>
      </c>
      <c r="F20" s="5">
        <v>81</v>
      </c>
    </row>
    <row r="21" spans="2:6" ht="15.75" thickBot="1">
      <c r="B21" s="4">
        <v>45444.421053240738</v>
      </c>
      <c r="C21" s="3" t="s">
        <v>5</v>
      </c>
      <c r="D21" s="3" t="s">
        <v>8</v>
      </c>
      <c r="E21" s="5">
        <v>53</v>
      </c>
      <c r="F21" s="5">
        <v>45</v>
      </c>
    </row>
    <row r="22" spans="2:6" ht="15.75" thickBot="1">
      <c r="B22" s="4">
        <v>45453.947372685187</v>
      </c>
      <c r="C22" s="3" t="s">
        <v>5</v>
      </c>
      <c r="D22" s="3" t="s">
        <v>9</v>
      </c>
      <c r="E22" s="5">
        <v>398</v>
      </c>
      <c r="F22" s="5">
        <v>33</v>
      </c>
    </row>
    <row r="23" spans="2:6" ht="15.75" thickBot="1">
      <c r="B23" s="4">
        <v>45463.473680555559</v>
      </c>
      <c r="C23" s="3" t="s">
        <v>11</v>
      </c>
      <c r="D23" s="3" t="s">
        <v>8</v>
      </c>
      <c r="E23" s="5">
        <v>347</v>
      </c>
      <c r="F23" s="5">
        <v>35</v>
      </c>
    </row>
    <row r="24" spans="2:6" ht="15.75" thickBot="1">
      <c r="B24" s="4">
        <v>45473</v>
      </c>
      <c r="C24" s="3" t="s">
        <v>7</v>
      </c>
      <c r="D24" s="11" t="s">
        <v>9</v>
      </c>
      <c r="E24" s="31">
        <v>319</v>
      </c>
      <c r="F24" s="5">
        <v>45</v>
      </c>
    </row>
    <row r="25" spans="2:6" ht="15.75" thickBot="1">
      <c r="C25" s="37" t="s">
        <v>38</v>
      </c>
      <c r="D25" s="38" t="s">
        <v>34</v>
      </c>
      <c r="E25" s="39">
        <f>AVERAGE(E5:E24)</f>
        <v>341.45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tabSelected="1" workbookViewId="0">
      <selection activeCell="J20" sqref="J20"/>
    </sheetView>
  </sheetViews>
  <sheetFormatPr defaultRowHeight="14.25"/>
  <cols>
    <col min="1" max="1" width="15.75" customWidth="1"/>
    <col min="7" max="7" width="12.5" bestFit="1" customWidth="1"/>
    <col min="8" max="9" width="11.5" bestFit="1" customWidth="1"/>
    <col min="10" max="10" width="12.5" bestFit="1" customWidth="1"/>
    <col min="11" max="11" width="11.5" bestFit="1" customWidth="1"/>
  </cols>
  <sheetData>
    <row r="1" spans="1:11" ht="20.25">
      <c r="A1" s="27" t="s">
        <v>33</v>
      </c>
    </row>
    <row r="2" spans="1:11" ht="15" thickBot="1"/>
    <row r="3" spans="1:11" ht="15.75" thickBot="1">
      <c r="A3" s="1" t="s">
        <v>0</v>
      </c>
      <c r="B3" s="2" t="s">
        <v>1</v>
      </c>
      <c r="C3" s="2" t="s">
        <v>2</v>
      </c>
      <c r="D3" s="2" t="s">
        <v>3</v>
      </c>
      <c r="E3" s="2" t="s">
        <v>4</v>
      </c>
    </row>
    <row r="4" spans="1:11" ht="15.75" thickBot="1">
      <c r="A4" s="4">
        <v>45292</v>
      </c>
      <c r="B4" s="3" t="s">
        <v>5</v>
      </c>
      <c r="C4" s="3" t="s">
        <v>6</v>
      </c>
      <c r="D4" s="5">
        <v>456</v>
      </c>
      <c r="E4" s="5">
        <v>93</v>
      </c>
    </row>
    <row r="5" spans="1:11" ht="15.75" thickBot="1">
      <c r="A5" s="4">
        <v>45301.526319444441</v>
      </c>
      <c r="B5" s="3" t="s">
        <v>7</v>
      </c>
      <c r="C5" s="3" t="s">
        <v>8</v>
      </c>
      <c r="D5" s="5">
        <v>348</v>
      </c>
      <c r="E5" s="5">
        <v>56</v>
      </c>
      <c r="G5" s="12" t="s">
        <v>13</v>
      </c>
      <c r="H5" t="s">
        <v>16</v>
      </c>
      <c r="J5" s="12" t="s">
        <v>13</v>
      </c>
      <c r="K5" t="s">
        <v>16</v>
      </c>
    </row>
    <row r="6" spans="1:11" ht="15.75" thickBot="1">
      <c r="A6" s="4">
        <v>45311.052627314813</v>
      </c>
      <c r="B6" s="3" t="s">
        <v>7</v>
      </c>
      <c r="C6" s="3" t="s">
        <v>6</v>
      </c>
      <c r="D6" s="5">
        <v>247</v>
      </c>
      <c r="E6" s="5">
        <v>76</v>
      </c>
      <c r="G6" s="13" t="s">
        <v>9</v>
      </c>
      <c r="H6">
        <v>1805</v>
      </c>
      <c r="J6" s="13" t="s">
        <v>6</v>
      </c>
      <c r="K6">
        <v>2521</v>
      </c>
    </row>
    <row r="7" spans="1:11" ht="15.75" thickBot="1">
      <c r="A7" s="4">
        <v>45320.578946759262</v>
      </c>
      <c r="B7" s="3" t="s">
        <v>5</v>
      </c>
      <c r="C7" s="3" t="s">
        <v>9</v>
      </c>
      <c r="D7" s="5">
        <v>230</v>
      </c>
      <c r="E7" s="5">
        <v>37</v>
      </c>
      <c r="G7" s="13" t="s">
        <v>8</v>
      </c>
      <c r="H7">
        <v>2503</v>
      </c>
      <c r="J7" s="13" t="s">
        <v>12</v>
      </c>
      <c r="K7">
        <v>2521</v>
      </c>
    </row>
    <row r="8" spans="1:11" ht="15.75" thickBot="1">
      <c r="A8" s="4">
        <v>45330.105266203704</v>
      </c>
      <c r="B8" s="3" t="s">
        <v>5</v>
      </c>
      <c r="C8" s="3" t="s">
        <v>6</v>
      </c>
      <c r="D8" s="5">
        <v>281</v>
      </c>
      <c r="E8" s="5">
        <v>50</v>
      </c>
      <c r="G8" s="13" t="s">
        <v>12</v>
      </c>
      <c r="H8">
        <v>4308</v>
      </c>
    </row>
    <row r="9" spans="1:11" ht="15.75" thickBot="1">
      <c r="A9" s="4">
        <v>45339.631574074076</v>
      </c>
      <c r="B9" s="3" t="s">
        <v>5</v>
      </c>
      <c r="C9" s="3" t="s">
        <v>8</v>
      </c>
      <c r="D9" s="5">
        <v>334</v>
      </c>
      <c r="E9" s="5">
        <v>52</v>
      </c>
    </row>
    <row r="10" spans="1:11" ht="15.75" thickBot="1">
      <c r="A10" s="4">
        <v>45349.157893518517</v>
      </c>
      <c r="B10" s="3" t="s">
        <v>7</v>
      </c>
      <c r="C10" s="3" t="s">
        <v>9</v>
      </c>
      <c r="D10" s="5">
        <v>417</v>
      </c>
      <c r="E10" s="5">
        <v>29</v>
      </c>
    </row>
    <row r="11" spans="1:11" ht="15.75" thickBot="1">
      <c r="A11" s="4">
        <v>45358.684212962966</v>
      </c>
      <c r="B11" s="3" t="s">
        <v>5</v>
      </c>
      <c r="C11" s="3" t="s">
        <v>9</v>
      </c>
      <c r="D11" s="5">
        <v>441</v>
      </c>
      <c r="E11" s="5">
        <v>44</v>
      </c>
    </row>
    <row r="12" spans="1:11" ht="15.75" thickBot="1">
      <c r="A12" s="4">
        <v>45368.210520833331</v>
      </c>
      <c r="B12" s="3" t="s">
        <v>7</v>
      </c>
      <c r="C12" s="3" t="s">
        <v>6</v>
      </c>
      <c r="D12" s="5">
        <v>76</v>
      </c>
      <c r="E12" s="5">
        <v>63</v>
      </c>
    </row>
    <row r="13" spans="1:11" ht="15.75" thickBot="1">
      <c r="A13" s="4">
        <v>45377.736840277779</v>
      </c>
      <c r="B13" s="3" t="s">
        <v>5</v>
      </c>
      <c r="C13" s="3" t="s">
        <v>8</v>
      </c>
      <c r="D13" s="5">
        <v>441</v>
      </c>
      <c r="E13" s="5">
        <v>79</v>
      </c>
    </row>
    <row r="14" spans="1:11" ht="15.75" thickBot="1">
      <c r="A14" s="4">
        <v>45387.263159722221</v>
      </c>
      <c r="B14" s="3" t="s">
        <v>7</v>
      </c>
      <c r="C14" s="3" t="s">
        <v>6</v>
      </c>
      <c r="D14" s="5">
        <v>205</v>
      </c>
      <c r="E14" s="5">
        <v>23</v>
      </c>
    </row>
    <row r="15" spans="1:11" ht="15.75" thickBot="1">
      <c r="A15" s="4">
        <v>45396.789479166669</v>
      </c>
      <c r="B15" s="3" t="s">
        <v>5</v>
      </c>
      <c r="C15" s="3" t="s">
        <v>8</v>
      </c>
      <c r="D15" s="5">
        <v>483</v>
      </c>
      <c r="E15" s="5">
        <v>97</v>
      </c>
    </row>
    <row r="16" spans="1:11" ht="15.75" thickBot="1">
      <c r="A16" s="4">
        <v>45406.315787037034</v>
      </c>
      <c r="B16" s="3" t="s">
        <v>10</v>
      </c>
      <c r="C16" s="3" t="s">
        <v>6</v>
      </c>
      <c r="D16" s="5">
        <v>467</v>
      </c>
      <c r="E16" s="5">
        <v>97</v>
      </c>
    </row>
    <row r="17" spans="1:5" ht="15.75" thickBot="1">
      <c r="A17" s="4">
        <v>45415.842106481483</v>
      </c>
      <c r="B17" s="3" t="s">
        <v>5</v>
      </c>
      <c r="C17" s="3" t="s">
        <v>6</v>
      </c>
      <c r="D17" s="5">
        <v>380</v>
      </c>
      <c r="E17" s="5">
        <v>92</v>
      </c>
    </row>
    <row r="18" spans="1:5" ht="15.75" thickBot="1">
      <c r="A18" s="4">
        <v>45425.368425925924</v>
      </c>
      <c r="B18" s="3" t="s">
        <v>7</v>
      </c>
      <c r="C18" s="3" t="s">
        <v>8</v>
      </c>
      <c r="D18" s="5">
        <v>497</v>
      </c>
      <c r="E18" s="5">
        <v>71</v>
      </c>
    </row>
    <row r="19" spans="1:5" ht="15.75" thickBot="1">
      <c r="A19" s="4">
        <v>45434.894733796296</v>
      </c>
      <c r="B19" s="3" t="s">
        <v>7</v>
      </c>
      <c r="C19" s="3" t="s">
        <v>6</v>
      </c>
      <c r="D19" s="5">
        <v>409</v>
      </c>
      <c r="E19" s="5">
        <v>81</v>
      </c>
    </row>
    <row r="20" spans="1:5" ht="15.75" thickBot="1">
      <c r="A20" s="4">
        <v>45444.421053240738</v>
      </c>
      <c r="B20" s="3" t="s">
        <v>5</v>
      </c>
      <c r="C20" s="3" t="s">
        <v>8</v>
      </c>
      <c r="D20" s="5">
        <v>53</v>
      </c>
      <c r="E20" s="5">
        <v>45</v>
      </c>
    </row>
    <row r="21" spans="1:5" ht="15.75" thickBot="1">
      <c r="A21" s="4">
        <v>45453.947372685187</v>
      </c>
      <c r="B21" s="3" t="s">
        <v>5</v>
      </c>
      <c r="C21" s="3" t="s">
        <v>9</v>
      </c>
      <c r="D21" s="5">
        <v>398</v>
      </c>
      <c r="E21" s="5">
        <v>33</v>
      </c>
    </row>
    <row r="22" spans="1:5" ht="15.75" thickBot="1">
      <c r="A22" s="4">
        <v>45463.473680555559</v>
      </c>
      <c r="B22" s="3" t="s">
        <v>11</v>
      </c>
      <c r="C22" s="3" t="s">
        <v>8</v>
      </c>
      <c r="D22" s="5">
        <v>347</v>
      </c>
      <c r="E22" s="5">
        <v>35</v>
      </c>
    </row>
    <row r="23" spans="1:5" ht="15.75" thickBot="1">
      <c r="A23" s="4">
        <v>45473</v>
      </c>
      <c r="B23" s="3" t="s">
        <v>7</v>
      </c>
      <c r="C23" s="3" t="s">
        <v>9</v>
      </c>
      <c r="D23" s="5">
        <v>319</v>
      </c>
      <c r="E23" s="5">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Q2,Q3,Q4</vt:lpstr>
      <vt:lpstr>Q5,Q6</vt:lpstr>
      <vt:lpstr>Q8</vt:lpstr>
      <vt:lpstr>Q9</vt:lpstr>
      <vt:lpstr>Q10</vt:lpstr>
      <vt:lpstr>'Q8'!Criteria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Prem Mahajan</dc:creator>
  <cp:lastModifiedBy>Admin</cp:lastModifiedBy>
  <dcterms:created xsi:type="dcterms:W3CDTF">2026-05-30T02:23:35Z</dcterms:created>
  <dcterms:modified xsi:type="dcterms:W3CDTF">2026-10-30T05:40:46Z</dcterms:modified>
</cp:coreProperties>
</file>